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дание 1 (товары)" sheetId="1" state="visible" r:id="rId1"/>
    <sheet xmlns:r="http://schemas.openxmlformats.org/officeDocument/2006/relationships" name="Задание 2 (проекты)" sheetId="2" state="visible" r:id="rId2"/>
    <sheet xmlns:r="http://schemas.openxmlformats.org/officeDocument/2006/relationships" name="Расчёт К1" sheetId="3" state="visible" r:id="rId3"/>
    <sheet xmlns:r="http://schemas.openxmlformats.org/officeDocument/2006/relationships" name="Расчёт К2" sheetId="4" state="visible" r:id="rId4"/>
    <sheet xmlns:r="http://schemas.openxmlformats.org/officeDocument/2006/relationships" name="Расчёт К3" sheetId="5" state="visible" r:id="rId5"/>
    <sheet xmlns:r="http://schemas.openxmlformats.org/officeDocument/2006/relationships" name="Расчёт Критерии" sheetId="6" state="visible" r:id="rId6"/>
    <sheet xmlns:r="http://schemas.openxmlformats.org/officeDocument/2006/relationships" name="Неопределённость 1" sheetId="7" state="visible" r:id="rId7"/>
    <sheet xmlns:r="http://schemas.openxmlformats.org/officeDocument/2006/relationships" name="Неопределённость 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0000FF"/>
    </font>
    <font>
      <b val="1"/>
      <color rgb="00FF0000"/>
      <sz val="14"/>
    </font>
    <font>
      <b val="1"/>
      <color rgb="00008000"/>
      <sz val="12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3" fillId="0" borderId="0" pivotButton="0" quotePrefix="0" xfId="0"/>
    <xf numFmtId="0" fontId="5" fillId="3" borderId="0" pivotButton="0" quotePrefix="0" xfId="0"/>
    <xf numFmtId="0" fontId="6" fillId="4" borderId="0" pivotButton="0" quotePrefix="0" xfId="0"/>
    <xf numFmtId="0" fontId="3" fillId="2" borderId="0" pivotButton="0" quotePrefix="0" xfId="0"/>
    <xf numFmtId="0" fontId="3" fillId="0" borderId="1" applyAlignment="1" pivotButton="0" quotePrefix="0" xfId="0">
      <alignment horizontal="center" vertical="center"/>
    </xf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Задание 1. Оценка качества товаров (метод латентных переменных)</t>
        </is>
      </c>
    </row>
    <row r="3">
      <c r="A3" s="2" t="inlineStr">
        <is>
          <t>Матрица предпочтений p'ij</t>
        </is>
      </c>
    </row>
    <row r="4">
      <c r="A4" s="3" t="inlineStr"/>
      <c r="B4" s="3" t="inlineStr">
        <is>
          <t>А1</t>
        </is>
      </c>
      <c r="C4" s="3" t="inlineStr">
        <is>
          <t>А2</t>
        </is>
      </c>
      <c r="D4" s="3" t="inlineStr">
        <is>
          <t>А3</t>
        </is>
      </c>
      <c r="E4" s="3" t="inlineStr">
        <is>
          <t>А4</t>
        </is>
      </c>
      <c r="F4" s="3" t="inlineStr">
        <is>
          <t>А5</t>
        </is>
      </c>
      <c r="G4" s="3" t="inlineStr">
        <is>
          <t>А6</t>
        </is>
      </c>
      <c r="H4" s="3" t="inlineStr">
        <is>
          <t>А7</t>
        </is>
      </c>
    </row>
    <row r="5">
      <c r="A5" s="4" t="inlineStr">
        <is>
          <t>А1</t>
        </is>
      </c>
      <c r="B5" s="5" t="n">
        <v>0.5</v>
      </c>
      <c r="C5" s="5" t="n">
        <v>0.7</v>
      </c>
      <c r="D5" s="5" t="n">
        <v>0.4</v>
      </c>
      <c r="E5" s="5" t="n">
        <v>0.5</v>
      </c>
      <c r="F5" s="5" t="n">
        <v>0.6</v>
      </c>
      <c r="G5" s="5" t="n">
        <v>0.3</v>
      </c>
      <c r="H5" s="5" t="n">
        <v>0.4</v>
      </c>
    </row>
    <row r="6">
      <c r="A6" s="4" t="inlineStr">
        <is>
          <t>А2</t>
        </is>
      </c>
      <c r="B6" s="5" t="n">
        <v>0.3</v>
      </c>
      <c r="C6" s="5" t="n">
        <v>0.5</v>
      </c>
      <c r="D6" s="5" t="n">
        <v>0.8</v>
      </c>
      <c r="E6" s="5" t="n">
        <v>0.3</v>
      </c>
      <c r="F6" s="5" t="n">
        <v>0.5</v>
      </c>
      <c r="G6" s="5" t="n">
        <v>0.4</v>
      </c>
      <c r="H6" s="5" t="n">
        <v>0.8</v>
      </c>
    </row>
    <row r="7">
      <c r="A7" s="4" t="inlineStr">
        <is>
          <t>А3</t>
        </is>
      </c>
      <c r="B7" s="5" t="n">
        <v>0.6</v>
      </c>
      <c r="C7" s="5" t="n">
        <v>0.2</v>
      </c>
      <c r="D7" s="5" t="n">
        <v>0.5</v>
      </c>
      <c r="E7" s="5" t="n">
        <v>0.2</v>
      </c>
      <c r="F7" s="5" t="n">
        <v>0.6</v>
      </c>
      <c r="G7" s="5" t="n">
        <v>0.4</v>
      </c>
      <c r="H7" s="5" t="n">
        <v>0.3</v>
      </c>
    </row>
    <row r="8">
      <c r="A8" s="4" t="inlineStr">
        <is>
          <t>А4</t>
        </is>
      </c>
      <c r="B8" s="5" t="n">
        <v>0.5</v>
      </c>
      <c r="C8" s="5" t="n">
        <v>0.7</v>
      </c>
      <c r="D8" s="5" t="n">
        <v>0.8</v>
      </c>
      <c r="E8" s="5" t="n">
        <v>0.5</v>
      </c>
      <c r="F8" s="5" t="n">
        <v>0.3</v>
      </c>
      <c r="G8" s="5" t="n">
        <v>0.4</v>
      </c>
      <c r="H8" s="5" t="n">
        <v>0.8</v>
      </c>
    </row>
    <row r="9">
      <c r="A9" s="4" t="inlineStr">
        <is>
          <t>А5</t>
        </is>
      </c>
      <c r="B9" s="5" t="n">
        <v>0.4</v>
      </c>
      <c r="C9" s="5" t="n">
        <v>0.5</v>
      </c>
      <c r="D9" s="5" t="n">
        <v>0.4</v>
      </c>
      <c r="E9" s="5" t="n">
        <v>0.7</v>
      </c>
      <c r="F9" s="5" t="n">
        <v>0.5</v>
      </c>
      <c r="G9" s="5" t="n">
        <v>0.7</v>
      </c>
      <c r="H9" s="5" t="n">
        <v>0.5</v>
      </c>
    </row>
    <row r="10">
      <c r="A10" s="4" t="inlineStr">
        <is>
          <t>А6</t>
        </is>
      </c>
      <c r="B10" s="5" t="n">
        <v>0.7</v>
      </c>
      <c r="C10" s="5" t="n">
        <v>0.6</v>
      </c>
      <c r="D10" s="5" t="n">
        <v>0.6</v>
      </c>
      <c r="E10" s="5" t="n">
        <v>0.6</v>
      </c>
      <c r="F10" s="5" t="n">
        <v>0.3</v>
      </c>
      <c r="G10" s="5" t="n">
        <v>0.5</v>
      </c>
      <c r="H10" s="5" t="n">
        <v>0.7</v>
      </c>
    </row>
    <row r="11">
      <c r="A11" s="4" t="inlineStr">
        <is>
          <t>А7</t>
        </is>
      </c>
      <c r="B11" s="5" t="n">
        <v>0.6</v>
      </c>
      <c r="C11" s="5" t="n">
        <v>0.2</v>
      </c>
      <c r="D11" s="5" t="n">
        <v>0.7</v>
      </c>
      <c r="E11" s="5" t="n">
        <v>0.2</v>
      </c>
      <c r="F11" s="5" t="n">
        <v>0.5</v>
      </c>
      <c r="G11" s="5" t="n">
        <v>0.3</v>
      </c>
      <c r="H11" s="5" t="n">
        <v>0.5</v>
      </c>
    </row>
    <row r="13">
      <c r="A13" s="2" t="inlineStr">
        <is>
          <t>Оценки βi</t>
        </is>
      </c>
    </row>
    <row r="14">
      <c r="A14" s="4" t="inlineStr">
        <is>
          <t>А1</t>
        </is>
      </c>
      <c r="B14" s="4" t="inlineStr">
        <is>
          <t>А2</t>
        </is>
      </c>
      <c r="C14" s="4" t="inlineStr">
        <is>
          <t>А3</t>
        </is>
      </c>
      <c r="D14" s="4" t="inlineStr">
        <is>
          <t>А4</t>
        </is>
      </c>
      <c r="E14" s="4" t="inlineStr">
        <is>
          <t>А5</t>
        </is>
      </c>
      <c r="F14" s="4" t="inlineStr">
        <is>
          <t>А6</t>
        </is>
      </c>
      <c r="G14" s="4" t="inlineStr">
        <is>
          <t>А7</t>
        </is>
      </c>
    </row>
    <row r="15">
      <c r="A15" s="6" t="n">
        <v>0.9717</v>
      </c>
      <c r="B15" s="6" t="n">
        <v>1.0761</v>
      </c>
      <c r="C15" s="6" t="n">
        <v>0.6105</v>
      </c>
      <c r="D15" s="6" t="n">
        <v>1.3025</v>
      </c>
      <c r="E15" s="6" t="n">
        <v>1.1524</v>
      </c>
      <c r="F15" s="6" t="n">
        <v>1.3181</v>
      </c>
      <c r="G15" s="6" t="n">
        <v>0.7427</v>
      </c>
    </row>
    <row r="17">
      <c r="A17" s="2" t="inlineStr">
        <is>
          <t>Модельная матрица Pij = exp(βi-βj)/(1+exp(βi-βj))</t>
        </is>
      </c>
    </row>
    <row r="18">
      <c r="A18" s="3" t="inlineStr"/>
      <c r="B18" s="3" t="inlineStr">
        <is>
          <t>А1</t>
        </is>
      </c>
      <c r="C18" s="3" t="inlineStr">
        <is>
          <t>А2</t>
        </is>
      </c>
      <c r="D18" s="3" t="inlineStr">
        <is>
          <t>А3</t>
        </is>
      </c>
      <c r="E18" s="3" t="inlineStr">
        <is>
          <t>А4</t>
        </is>
      </c>
      <c r="F18" s="3" t="inlineStr">
        <is>
          <t>А5</t>
        </is>
      </c>
      <c r="G18" s="3" t="inlineStr">
        <is>
          <t>А6</t>
        </is>
      </c>
      <c r="H18" s="3" t="inlineStr">
        <is>
          <t>А7</t>
        </is>
      </c>
    </row>
    <row r="19">
      <c r="A19" s="4" t="inlineStr">
        <is>
          <t>А1</t>
        </is>
      </c>
      <c r="B19" s="5">
        <f>EXP($A$15-$A$15)/(1+EXP($A$15-$A$15))</f>
        <v/>
      </c>
      <c r="C19" s="5">
        <f>EXP($A$15-$B$15)/(1+EXP($A$15-$B$15))</f>
        <v/>
      </c>
      <c r="D19" s="5">
        <f>EXP($A$15-$C$15)/(1+EXP($A$15-$C$15))</f>
        <v/>
      </c>
      <c r="E19" s="5">
        <f>EXP($A$15-$D$15)/(1+EXP($A$15-$D$15))</f>
        <v/>
      </c>
      <c r="F19" s="5">
        <f>EXP($A$15-$E$15)/(1+EXP($A$15-$E$15))</f>
        <v/>
      </c>
      <c r="G19" s="5">
        <f>EXP($A$15-$F$15)/(1+EXP($A$15-$F$15))</f>
        <v/>
      </c>
      <c r="H19" s="5">
        <f>EXP($A$15-$G$15)/(1+EXP($A$15-$G$15))</f>
        <v/>
      </c>
    </row>
    <row r="20">
      <c r="A20" s="4" t="inlineStr">
        <is>
          <t>А2</t>
        </is>
      </c>
      <c r="B20" s="5">
        <f>EXP($B$15-$A$15)/(1+EXP($B$15-$A$15))</f>
        <v/>
      </c>
      <c r="C20" s="5">
        <f>EXP($B$15-$B$15)/(1+EXP($B$15-$B$15))</f>
        <v/>
      </c>
      <c r="D20" s="5">
        <f>EXP($B$15-$C$15)/(1+EXP($B$15-$C$15))</f>
        <v/>
      </c>
      <c r="E20" s="5">
        <f>EXP($B$15-$D$15)/(1+EXP($B$15-$D$15))</f>
        <v/>
      </c>
      <c r="F20" s="5">
        <f>EXP($B$15-$E$15)/(1+EXP($B$15-$E$15))</f>
        <v/>
      </c>
      <c r="G20" s="5">
        <f>EXP($B$15-$F$15)/(1+EXP($B$15-$F$15))</f>
        <v/>
      </c>
      <c r="H20" s="5">
        <f>EXP($B$15-$G$15)/(1+EXP($B$15-$G$15))</f>
        <v/>
      </c>
    </row>
    <row r="21">
      <c r="A21" s="4" t="inlineStr">
        <is>
          <t>А3</t>
        </is>
      </c>
      <c r="B21" s="5">
        <f>EXP($C$15-$A$15)/(1+EXP($C$15-$A$15))</f>
        <v/>
      </c>
      <c r="C21" s="5">
        <f>EXP($C$15-$B$15)/(1+EXP($C$15-$B$15))</f>
        <v/>
      </c>
      <c r="D21" s="5">
        <f>EXP($C$15-$C$15)/(1+EXP($C$15-$C$15))</f>
        <v/>
      </c>
      <c r="E21" s="5">
        <f>EXP($C$15-$D$15)/(1+EXP($C$15-$D$15))</f>
        <v/>
      </c>
      <c r="F21" s="5">
        <f>EXP($C$15-$E$15)/(1+EXP($C$15-$E$15))</f>
        <v/>
      </c>
      <c r="G21" s="5">
        <f>EXP($C$15-$F$15)/(1+EXP($C$15-$F$15))</f>
        <v/>
      </c>
      <c r="H21" s="5">
        <f>EXP($C$15-$G$15)/(1+EXP($C$15-$G$15))</f>
        <v/>
      </c>
    </row>
    <row r="22">
      <c r="A22" s="4" t="inlineStr">
        <is>
          <t>А4</t>
        </is>
      </c>
      <c r="B22" s="5">
        <f>EXP($D$15-$A$15)/(1+EXP($D$15-$A$15))</f>
        <v/>
      </c>
      <c r="C22" s="5">
        <f>EXP($D$15-$B$15)/(1+EXP($D$15-$B$15))</f>
        <v/>
      </c>
      <c r="D22" s="5">
        <f>EXP($D$15-$C$15)/(1+EXP($D$15-$C$15))</f>
        <v/>
      </c>
      <c r="E22" s="5">
        <f>EXP($D$15-$D$15)/(1+EXP($D$15-$D$15))</f>
        <v/>
      </c>
      <c r="F22" s="5">
        <f>EXP($D$15-$E$15)/(1+EXP($D$15-$E$15))</f>
        <v/>
      </c>
      <c r="G22" s="5">
        <f>EXP($D$15-$F$15)/(1+EXP($D$15-$F$15))</f>
        <v/>
      </c>
      <c r="H22" s="5">
        <f>EXP($D$15-$G$15)/(1+EXP($D$15-$G$15))</f>
        <v/>
      </c>
    </row>
    <row r="23">
      <c r="A23" s="4" t="inlineStr">
        <is>
          <t>А5</t>
        </is>
      </c>
      <c r="B23" s="5">
        <f>EXP($E$15-$A$15)/(1+EXP($E$15-$A$15))</f>
        <v/>
      </c>
      <c r="C23" s="5">
        <f>EXP($E$15-$B$15)/(1+EXP($E$15-$B$15))</f>
        <v/>
      </c>
      <c r="D23" s="5">
        <f>EXP($E$15-$C$15)/(1+EXP($E$15-$C$15))</f>
        <v/>
      </c>
      <c r="E23" s="5">
        <f>EXP($E$15-$D$15)/(1+EXP($E$15-$D$15))</f>
        <v/>
      </c>
      <c r="F23" s="5">
        <f>EXP($E$15-$E$15)/(1+EXP($E$15-$E$15))</f>
        <v/>
      </c>
      <c r="G23" s="5">
        <f>EXP($E$15-$F$15)/(1+EXP($E$15-$F$15))</f>
        <v/>
      </c>
      <c r="H23" s="5">
        <f>EXP($E$15-$G$15)/(1+EXP($E$15-$G$15))</f>
        <v/>
      </c>
    </row>
    <row r="24">
      <c r="A24" s="4" t="inlineStr">
        <is>
          <t>А6</t>
        </is>
      </c>
      <c r="B24" s="5">
        <f>EXP($F$15-$A$15)/(1+EXP($F$15-$A$15))</f>
        <v/>
      </c>
      <c r="C24" s="5">
        <f>EXP($F$15-$B$15)/(1+EXP($F$15-$B$15))</f>
        <v/>
      </c>
      <c r="D24" s="5">
        <f>EXP($F$15-$C$15)/(1+EXP($F$15-$C$15))</f>
        <v/>
      </c>
      <c r="E24" s="5">
        <f>EXP($F$15-$D$15)/(1+EXP($F$15-$D$15))</f>
        <v/>
      </c>
      <c r="F24" s="5">
        <f>EXP($F$15-$E$15)/(1+EXP($F$15-$E$15))</f>
        <v/>
      </c>
      <c r="G24" s="5">
        <f>EXP($F$15-$F$15)/(1+EXP($F$15-$F$15))</f>
        <v/>
      </c>
      <c r="H24" s="5">
        <f>EXP($F$15-$G$15)/(1+EXP($F$15-$G$15))</f>
        <v/>
      </c>
    </row>
    <row r="25">
      <c r="A25" s="4" t="inlineStr">
        <is>
          <t>А7</t>
        </is>
      </c>
      <c r="B25" s="5">
        <f>EXP($G$15-$A$15)/(1+EXP($G$15-$A$15))</f>
        <v/>
      </c>
      <c r="C25" s="5">
        <f>EXP($G$15-$B$15)/(1+EXP($G$15-$B$15))</f>
        <v/>
      </c>
      <c r="D25" s="5">
        <f>EXP($G$15-$C$15)/(1+EXP($G$15-$C$15))</f>
        <v/>
      </c>
      <c r="E25" s="5">
        <f>EXP($G$15-$D$15)/(1+EXP($G$15-$D$15))</f>
        <v/>
      </c>
      <c r="F25" s="5">
        <f>EXP($G$15-$E$15)/(1+EXP($G$15-$E$15))</f>
        <v/>
      </c>
      <c r="G25" s="5">
        <f>EXP($G$15-$F$15)/(1+EXP($G$15-$F$15))</f>
        <v/>
      </c>
      <c r="H25" s="5">
        <f>EXP($G$15-$G$15)/(1+EXP($G$15-$G$15))</f>
        <v/>
      </c>
    </row>
    <row r="27">
      <c r="A27" s="2" t="inlineStr">
        <is>
          <t>Квадраты отклонений (p'ij - Pij)^2</t>
        </is>
      </c>
    </row>
    <row r="28">
      <c r="A28" s="3" t="inlineStr"/>
      <c r="B28" s="3" t="inlineStr">
        <is>
          <t>А1</t>
        </is>
      </c>
      <c r="C28" s="3" t="inlineStr">
        <is>
          <t>А2</t>
        </is>
      </c>
      <c r="D28" s="3" t="inlineStr">
        <is>
          <t>А3</t>
        </is>
      </c>
      <c r="E28" s="3" t="inlineStr">
        <is>
          <t>А4</t>
        </is>
      </c>
      <c r="F28" s="3" t="inlineStr">
        <is>
          <t>А5</t>
        </is>
      </c>
      <c r="G28" s="3" t="inlineStr">
        <is>
          <t>А6</t>
        </is>
      </c>
      <c r="H28" s="3" t="inlineStr">
        <is>
          <t>А7</t>
        </is>
      </c>
    </row>
    <row r="29">
      <c r="A29" s="4" t="inlineStr">
        <is>
          <t>А1</t>
        </is>
      </c>
      <c r="B29" s="5">
        <f>(B5-B19)^2</f>
        <v/>
      </c>
      <c r="C29" s="5">
        <f>(C5-C19)^2</f>
        <v/>
      </c>
      <c r="D29" s="5">
        <f>(D5-D19)^2</f>
        <v/>
      </c>
      <c r="E29" s="5">
        <f>(E5-E19)^2</f>
        <v/>
      </c>
      <c r="F29" s="5">
        <f>(F5-F19)^2</f>
        <v/>
      </c>
      <c r="G29" s="5">
        <f>(G5-G19)^2</f>
        <v/>
      </c>
      <c r="H29" s="5">
        <f>(H5-H19)^2</f>
        <v/>
      </c>
    </row>
    <row r="30">
      <c r="A30" s="4" t="inlineStr">
        <is>
          <t>А2</t>
        </is>
      </c>
      <c r="B30" s="5">
        <f>(B6-B20)^2</f>
        <v/>
      </c>
      <c r="C30" s="5">
        <f>(C6-C20)^2</f>
        <v/>
      </c>
      <c r="D30" s="5">
        <f>(D6-D20)^2</f>
        <v/>
      </c>
      <c r="E30" s="5">
        <f>(E6-E20)^2</f>
        <v/>
      </c>
      <c r="F30" s="5">
        <f>(F6-F20)^2</f>
        <v/>
      </c>
      <c r="G30" s="5">
        <f>(G6-G20)^2</f>
        <v/>
      </c>
      <c r="H30" s="5">
        <f>(H6-H20)^2</f>
        <v/>
      </c>
    </row>
    <row r="31">
      <c r="A31" s="4" t="inlineStr">
        <is>
          <t>А3</t>
        </is>
      </c>
      <c r="B31" s="5">
        <f>(B7-B21)^2</f>
        <v/>
      </c>
      <c r="C31" s="5">
        <f>(C7-C21)^2</f>
        <v/>
      </c>
      <c r="D31" s="5">
        <f>(D7-D21)^2</f>
        <v/>
      </c>
      <c r="E31" s="5">
        <f>(E7-E21)^2</f>
        <v/>
      </c>
      <c r="F31" s="5">
        <f>(F7-F21)^2</f>
        <v/>
      </c>
      <c r="G31" s="5">
        <f>(G7-G21)^2</f>
        <v/>
      </c>
      <c r="H31" s="5">
        <f>(H7-H21)^2</f>
        <v/>
      </c>
    </row>
    <row r="32">
      <c r="A32" s="4" t="inlineStr">
        <is>
          <t>А4</t>
        </is>
      </c>
      <c r="B32" s="5">
        <f>(B8-B22)^2</f>
        <v/>
      </c>
      <c r="C32" s="5">
        <f>(C8-C22)^2</f>
        <v/>
      </c>
      <c r="D32" s="5">
        <f>(D8-D22)^2</f>
        <v/>
      </c>
      <c r="E32" s="5">
        <f>(E8-E22)^2</f>
        <v/>
      </c>
      <c r="F32" s="5">
        <f>(F8-F22)^2</f>
        <v/>
      </c>
      <c r="G32" s="5">
        <f>(G8-G22)^2</f>
        <v/>
      </c>
      <c r="H32" s="5">
        <f>(H8-H22)^2</f>
        <v/>
      </c>
    </row>
    <row r="33">
      <c r="A33" s="4" t="inlineStr">
        <is>
          <t>А5</t>
        </is>
      </c>
      <c r="B33" s="5">
        <f>(B9-B23)^2</f>
        <v/>
      </c>
      <c r="C33" s="5">
        <f>(C9-C23)^2</f>
        <v/>
      </c>
      <c r="D33" s="5">
        <f>(D9-D23)^2</f>
        <v/>
      </c>
      <c r="E33" s="5">
        <f>(E9-E23)^2</f>
        <v/>
      </c>
      <c r="F33" s="5">
        <f>(F9-F23)^2</f>
        <v/>
      </c>
      <c r="G33" s="5">
        <f>(G9-G23)^2</f>
        <v/>
      </c>
      <c r="H33" s="5">
        <f>(H9-H23)^2</f>
        <v/>
      </c>
    </row>
    <row r="34">
      <c r="A34" s="4" t="inlineStr">
        <is>
          <t>А6</t>
        </is>
      </c>
      <c r="B34" s="5">
        <f>(B10-B24)^2</f>
        <v/>
      </c>
      <c r="C34" s="5">
        <f>(C10-C24)^2</f>
        <v/>
      </c>
      <c r="D34" s="5">
        <f>(D10-D24)^2</f>
        <v/>
      </c>
      <c r="E34" s="5">
        <f>(E10-E24)^2</f>
        <v/>
      </c>
      <c r="F34" s="5">
        <f>(F10-F24)^2</f>
        <v/>
      </c>
      <c r="G34" s="5">
        <f>(G10-G24)^2</f>
        <v/>
      </c>
      <c r="H34" s="5">
        <f>(H10-H24)^2</f>
        <v/>
      </c>
    </row>
    <row r="35">
      <c r="A35" s="4" t="inlineStr">
        <is>
          <t>А7</t>
        </is>
      </c>
      <c r="B35" s="5">
        <f>(B11-B25)^2</f>
        <v/>
      </c>
      <c r="C35" s="5">
        <f>(C11-C25)^2</f>
        <v/>
      </c>
      <c r="D35" s="5">
        <f>(D11-D25)^2</f>
        <v/>
      </c>
      <c r="E35" s="5">
        <f>(E11-E25)^2</f>
        <v/>
      </c>
      <c r="F35" s="5">
        <f>(F11-F25)^2</f>
        <v/>
      </c>
      <c r="G35" s="5">
        <f>(G11-G25)^2</f>
        <v/>
      </c>
      <c r="H35" s="5">
        <f>(H11-H25)^2</f>
        <v/>
      </c>
    </row>
    <row r="37">
      <c r="A37" s="7" t="inlineStr">
        <is>
          <t>Целевая функция (минимизировать):</t>
        </is>
      </c>
      <c r="D37" s="8">
        <f>SUM(B29:H35)</f>
        <v/>
      </c>
    </row>
    <row r="39">
      <c r="A39" s="2" t="inlineStr">
        <is>
          <t>Нормализованные оценки wi = (βi-min)/(max-min)</t>
        </is>
      </c>
    </row>
    <row r="40">
      <c r="A40" s="4" t="inlineStr">
        <is>
          <t>А1</t>
        </is>
      </c>
      <c r="B40" s="4" t="inlineStr">
        <is>
          <t>А2</t>
        </is>
      </c>
      <c r="C40" s="4" t="inlineStr">
        <is>
          <t>А3</t>
        </is>
      </c>
      <c r="D40" s="4" t="inlineStr">
        <is>
          <t>А4</t>
        </is>
      </c>
      <c r="E40" s="4" t="inlineStr">
        <is>
          <t>А5</t>
        </is>
      </c>
      <c r="F40" s="4" t="inlineStr">
        <is>
          <t>А6</t>
        </is>
      </c>
      <c r="G40" s="4" t="inlineStr">
        <is>
          <t>А7</t>
        </is>
      </c>
    </row>
    <row r="41">
      <c r="A41" s="5">
        <f>(A$15-MIN($A$15:$G$15))/(MAX($A$15:$G$15)-MIN($A$15:$G$15))</f>
        <v/>
      </c>
      <c r="B41" s="5">
        <f>(B$15-MIN($A$15:$G$15))/(MAX($A$15:$G$15)-MIN($A$15:$G$15))</f>
        <v/>
      </c>
      <c r="C41" s="5">
        <f>(C$15-MIN($A$15:$G$15))/(MAX($A$15:$G$15)-MIN($A$15:$G$15))</f>
        <v/>
      </c>
      <c r="D41" s="5">
        <f>(D$15-MIN($A$15:$G$15))/(MAX($A$15:$G$15)-MIN($A$15:$G$15))</f>
        <v/>
      </c>
      <c r="E41" s="5">
        <f>(E$15-MIN($A$15:$G$15))/(MAX($A$15:$G$15)-MIN($A$15:$G$15))</f>
        <v/>
      </c>
      <c r="F41" s="5">
        <f>(F$15-MIN($A$15:$G$15))/(MAX($A$15:$G$15)-MIN($A$15:$G$15))</f>
        <v/>
      </c>
      <c r="G41" s="5">
        <f>(G$15-MIN($A$15:$G$15))/(MAX($A$15:$G$15)-MIN($A$15:$G$15))</f>
        <v/>
      </c>
    </row>
    <row r="43">
      <c r="A43" s="9" t="inlineStr">
        <is>
          <t>ОТВЕТ: Лучший товар — А6 (β ≈ 1,318)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Задание 2. Выбор проекта (латентные переменные, 3 критерия)</t>
        </is>
      </c>
    </row>
    <row r="4">
      <c r="A4" s="2" t="inlineStr">
        <is>
          <t>Матрица К1</t>
        </is>
      </c>
    </row>
    <row r="5">
      <c r="A5" s="3" t="inlineStr">
        <is>
          <t>К1</t>
        </is>
      </c>
      <c r="B5" s="3" t="inlineStr">
        <is>
          <t>A</t>
        </is>
      </c>
      <c r="C5" s="3" t="inlineStr">
        <is>
          <t>B</t>
        </is>
      </c>
      <c r="D5" s="3" t="inlineStr">
        <is>
          <t>C</t>
        </is>
      </c>
      <c r="E5" s="3" t="inlineStr">
        <is>
          <t>D</t>
        </is>
      </c>
      <c r="G5" s="10" t="inlineStr">
        <is>
          <t>β-значения</t>
        </is>
      </c>
      <c r="H5" s="10" t="inlineStr">
        <is>
          <t>Вес (β/Σβ)</t>
        </is>
      </c>
    </row>
    <row r="6">
      <c r="A6" s="4" t="inlineStr">
        <is>
          <t>A</t>
        </is>
      </c>
      <c r="B6" s="5" t="n">
        <v>0.5</v>
      </c>
      <c r="C6" s="5" t="n">
        <v>0.2</v>
      </c>
      <c r="D6" s="5" t="n">
        <v>0.6</v>
      </c>
      <c r="E6" s="5" t="n">
        <v>0.4</v>
      </c>
      <c r="G6" s="6" t="n">
        <v>0.6309</v>
      </c>
      <c r="H6" s="5">
        <f>G6/G$10</f>
        <v/>
      </c>
    </row>
    <row r="7">
      <c r="A7" s="4" t="inlineStr">
        <is>
          <t>B</t>
        </is>
      </c>
      <c r="B7" s="5" t="n">
        <v>0.8</v>
      </c>
      <c r="C7" s="5" t="n">
        <v>0.5</v>
      </c>
      <c r="D7" s="5" t="n">
        <v>0.4</v>
      </c>
      <c r="E7" s="5" t="n">
        <v>0.1</v>
      </c>
      <c r="G7" s="6" t="n">
        <v>0.7703</v>
      </c>
      <c r="H7" s="5">
        <f>G7/G$10</f>
        <v/>
      </c>
    </row>
    <row r="8">
      <c r="A8" s="4" t="inlineStr">
        <is>
          <t>C</t>
        </is>
      </c>
      <c r="B8" s="5" t="n">
        <v>0.4</v>
      </c>
      <c r="C8" s="5" t="n">
        <v>0.6</v>
      </c>
      <c r="D8" s="5" t="n">
        <v>0.5</v>
      </c>
      <c r="E8" s="5" t="n">
        <v>0.7</v>
      </c>
      <c r="G8" s="6" t="n">
        <v>1.1809</v>
      </c>
      <c r="H8" s="5">
        <f>G8/G$10</f>
        <v/>
      </c>
    </row>
    <row r="9">
      <c r="A9" s="4" t="inlineStr">
        <is>
          <t>D</t>
        </is>
      </c>
      <c r="B9" s="5" t="n">
        <v>0.6</v>
      </c>
      <c r="C9" s="5" t="n">
        <v>0.9</v>
      </c>
      <c r="D9" s="5" t="n">
        <v>0.3</v>
      </c>
      <c r="E9" s="5" t="n">
        <v>0.5</v>
      </c>
      <c r="G9" s="6" t="n">
        <v>1.2558</v>
      </c>
      <c r="H9" s="5">
        <f>G9/G$10</f>
        <v/>
      </c>
    </row>
    <row r="10">
      <c r="G10" s="4">
        <f>SUM(G6:G9)</f>
        <v/>
      </c>
    </row>
    <row r="12">
      <c r="A12" s="2" t="inlineStr">
        <is>
          <t>Матрица К2</t>
        </is>
      </c>
    </row>
    <row r="13">
      <c r="A13" s="3" t="inlineStr">
        <is>
          <t>К2</t>
        </is>
      </c>
      <c r="B13" s="3" t="inlineStr">
        <is>
          <t>A</t>
        </is>
      </c>
      <c r="C13" s="3" t="inlineStr">
        <is>
          <t>B</t>
        </is>
      </c>
      <c r="D13" s="3" t="inlineStr">
        <is>
          <t>C</t>
        </is>
      </c>
      <c r="E13" s="3" t="inlineStr">
        <is>
          <t>D</t>
        </is>
      </c>
      <c r="G13" s="10" t="inlineStr">
        <is>
          <t>β-значения</t>
        </is>
      </c>
      <c r="H13" s="10" t="inlineStr">
        <is>
          <t>Вес (β/Σβ)</t>
        </is>
      </c>
    </row>
    <row r="14">
      <c r="A14" s="4" t="inlineStr">
        <is>
          <t>A</t>
        </is>
      </c>
      <c r="B14" s="5" t="n">
        <v>0.5</v>
      </c>
      <c r="C14" s="5" t="n">
        <v>0.6</v>
      </c>
      <c r="D14" s="5" t="n">
        <v>0.7</v>
      </c>
      <c r="E14" s="5" t="n">
        <v>0.3</v>
      </c>
      <c r="G14" s="6" t="n">
        <v>1.1432</v>
      </c>
      <c r="H14" s="5">
        <f>G14/G$18</f>
        <v/>
      </c>
    </row>
    <row r="15">
      <c r="A15" s="4" t="inlineStr">
        <is>
          <t>B</t>
        </is>
      </c>
      <c r="B15" s="5" t="n">
        <v>0.4</v>
      </c>
      <c r="C15" s="5" t="n">
        <v>0.5</v>
      </c>
      <c r="D15" s="5" t="n">
        <v>0.6</v>
      </c>
      <c r="E15" s="5" t="n">
        <v>0.8</v>
      </c>
      <c r="G15" s="6" t="n">
        <v>1.3255</v>
      </c>
      <c r="H15" s="5">
        <f>G15/G$18</f>
        <v/>
      </c>
    </row>
    <row r="16">
      <c r="A16" s="4" t="inlineStr">
        <is>
          <t>C</t>
        </is>
      </c>
      <c r="B16" s="5" t="n">
        <v>0.3</v>
      </c>
      <c r="C16" s="5" t="n">
        <v>0.4</v>
      </c>
      <c r="D16" s="5" t="n">
        <v>0.5</v>
      </c>
      <c r="E16" s="5" t="n">
        <v>0.7</v>
      </c>
      <c r="G16" s="6" t="n">
        <v>0.9307</v>
      </c>
      <c r="H16" s="5">
        <f>G16/G$18</f>
        <v/>
      </c>
    </row>
    <row r="17">
      <c r="A17" s="4" t="inlineStr">
        <is>
          <t>D</t>
        </is>
      </c>
      <c r="B17" s="5" t="n">
        <v>0.7</v>
      </c>
      <c r="C17" s="5" t="n">
        <v>0.2</v>
      </c>
      <c r="D17" s="5" t="n">
        <v>0.3</v>
      </c>
      <c r="E17" s="5" t="n">
        <v>0.5</v>
      </c>
      <c r="G17" s="6" t="n">
        <v>0.7278</v>
      </c>
      <c r="H17" s="5">
        <f>G17/G$18</f>
        <v/>
      </c>
    </row>
    <row r="18">
      <c r="G18" s="4">
        <f>SUM(G14:G17)</f>
        <v/>
      </c>
    </row>
    <row r="20">
      <c r="A20" s="2" t="inlineStr">
        <is>
          <t>Матрица К3</t>
        </is>
      </c>
    </row>
    <row r="21">
      <c r="A21" s="3" t="inlineStr">
        <is>
          <t>К3</t>
        </is>
      </c>
      <c r="B21" s="3" t="inlineStr">
        <is>
          <t>A</t>
        </is>
      </c>
      <c r="C21" s="3" t="inlineStr">
        <is>
          <t>B</t>
        </is>
      </c>
      <c r="D21" s="3" t="inlineStr">
        <is>
          <t>C</t>
        </is>
      </c>
      <c r="E21" s="3" t="inlineStr">
        <is>
          <t>D</t>
        </is>
      </c>
      <c r="G21" s="10" t="inlineStr">
        <is>
          <t>β-значения</t>
        </is>
      </c>
      <c r="H21" s="10" t="inlineStr">
        <is>
          <t>Вес (β/Σβ)</t>
        </is>
      </c>
    </row>
    <row r="22">
      <c r="A22" s="4" t="inlineStr">
        <is>
          <t>A</t>
        </is>
      </c>
      <c r="B22" s="5" t="n">
        <v>0.5</v>
      </c>
      <c r="C22" s="5" t="n">
        <v>0.7</v>
      </c>
      <c r="D22" s="5" t="n">
        <v>0.2</v>
      </c>
      <c r="E22" s="5" t="n">
        <v>0.8</v>
      </c>
      <c r="G22" s="6" t="n">
        <v>1.221</v>
      </c>
      <c r="H22" s="5">
        <f>G22/G$26</f>
        <v/>
      </c>
    </row>
    <row r="23">
      <c r="A23" s="4" t="inlineStr">
        <is>
          <t>B</t>
        </is>
      </c>
      <c r="B23" s="5" t="n">
        <v>0.3</v>
      </c>
      <c r="C23" s="5" t="n">
        <v>0.5</v>
      </c>
      <c r="D23" s="5" t="n">
        <v>0.6</v>
      </c>
      <c r="E23" s="5" t="n">
        <v>0.7</v>
      </c>
      <c r="G23" s="6" t="n">
        <v>1.1054</v>
      </c>
      <c r="H23" s="5">
        <f>G23/G$26</f>
        <v/>
      </c>
    </row>
    <row r="24">
      <c r="A24" s="4" t="inlineStr">
        <is>
          <t>C</t>
        </is>
      </c>
      <c r="B24" s="5" t="n">
        <v>0.8</v>
      </c>
      <c r="C24" s="5" t="n">
        <v>0.4</v>
      </c>
      <c r="D24" s="5" t="n">
        <v>0.5</v>
      </c>
      <c r="E24" s="5" t="n">
        <v>0.1</v>
      </c>
      <c r="G24" s="6" t="n">
        <v>0.787</v>
      </c>
      <c r="H24" s="5">
        <f>G24/G$26</f>
        <v/>
      </c>
    </row>
    <row r="25">
      <c r="A25" s="4" t="inlineStr">
        <is>
          <t>D</t>
        </is>
      </c>
      <c r="B25" s="5" t="n">
        <v>0.2</v>
      </c>
      <c r="C25" s="5" t="n">
        <v>0.3</v>
      </c>
      <c r="D25" s="5" t="n">
        <v>0.9</v>
      </c>
      <c r="E25" s="5" t="n">
        <v>0.5</v>
      </c>
      <c r="G25" s="6" t="n">
        <v>0.9106</v>
      </c>
      <c r="H25" s="5">
        <f>G25/G$26</f>
        <v/>
      </c>
    </row>
    <row r="26">
      <c r="G26" s="4">
        <f>SUM(G22:G25)</f>
        <v/>
      </c>
    </row>
    <row r="28">
      <c r="A28" s="2" t="inlineStr">
        <is>
          <t>Матрица критериев</t>
        </is>
      </c>
    </row>
    <row r="29">
      <c r="A29" s="3" t="inlineStr"/>
      <c r="B29" s="3" t="inlineStr">
        <is>
          <t>К1</t>
        </is>
      </c>
      <c r="C29" s="3" t="inlineStr">
        <is>
          <t>К2</t>
        </is>
      </c>
      <c r="D29" s="3" t="inlineStr">
        <is>
          <t>К3</t>
        </is>
      </c>
      <c r="F29" s="10" t="inlineStr">
        <is>
          <t>β-значения</t>
        </is>
      </c>
      <c r="G29" s="10" t="inlineStr">
        <is>
          <t>Вес (β/Σβ)</t>
        </is>
      </c>
    </row>
    <row r="30">
      <c r="A30" s="4" t="inlineStr">
        <is>
          <t>К1</t>
        </is>
      </c>
      <c r="B30" s="5" t="n">
        <v>0.5</v>
      </c>
      <c r="C30" s="5" t="n">
        <v>0.7</v>
      </c>
      <c r="D30" s="5" t="n">
        <v>0.4</v>
      </c>
      <c r="F30" s="6" t="n">
        <v>1.1265</v>
      </c>
      <c r="G30" s="5">
        <f>F30/F$33</f>
        <v/>
      </c>
    </row>
    <row r="31">
      <c r="A31" s="4" t="inlineStr">
        <is>
          <t>К2</t>
        </is>
      </c>
      <c r="B31" s="5" t="n">
        <v>0.3</v>
      </c>
      <c r="C31" s="5" t="n">
        <v>0.5</v>
      </c>
      <c r="D31" s="5" t="n">
        <v>0.6</v>
      </c>
      <c r="F31" s="6" t="n">
        <v>0.8633</v>
      </c>
      <c r="G31" s="5">
        <f>F31/F$33</f>
        <v/>
      </c>
    </row>
    <row r="32">
      <c r="A32" s="4" t="inlineStr">
        <is>
          <t>К3</t>
        </is>
      </c>
      <c r="B32" s="5" t="n">
        <v>0.6</v>
      </c>
      <c r="C32" s="5" t="n">
        <v>0.4</v>
      </c>
      <c r="D32" s="5" t="n">
        <v>0.5</v>
      </c>
      <c r="F32" s="6" t="n">
        <v>0.9949</v>
      </c>
      <c r="G32" s="5">
        <f>F32/F$33</f>
        <v/>
      </c>
    </row>
    <row r="33">
      <c r="F33" s="4">
        <f>SUM(F30:F32)</f>
        <v/>
      </c>
    </row>
    <row r="35">
      <c r="A35" s="2" t="inlineStr">
        <is>
          <t>Функции полезности</t>
        </is>
      </c>
    </row>
    <row r="36">
      <c r="A36" s="3" t="inlineStr">
        <is>
          <t>Проект</t>
        </is>
      </c>
      <c r="B36" s="3" t="inlineStr">
        <is>
          <t>F(Ai)</t>
        </is>
      </c>
    </row>
    <row r="37">
      <c r="A37" s="4" t="inlineStr">
        <is>
          <t>A</t>
        </is>
      </c>
      <c r="B37" s="4">
        <f>H8*G$30+H16*G$31+H24*G$32</f>
        <v/>
      </c>
    </row>
    <row r="38">
      <c r="A38" s="4" t="inlineStr">
        <is>
          <t>B</t>
        </is>
      </c>
      <c r="B38" s="4">
        <f>H9*G$30+H17*G$31+H25*G$32</f>
        <v/>
      </c>
    </row>
    <row r="39">
      <c r="A39" s="4" t="inlineStr">
        <is>
          <t>C</t>
        </is>
      </c>
      <c r="B39" s="4">
        <f>H10*G$30+H18*G$31+H26*G$32</f>
        <v/>
      </c>
    </row>
    <row r="40">
      <c r="A40" s="4" t="inlineStr">
        <is>
          <t>D</t>
        </is>
      </c>
      <c r="B40" s="4">
        <f>H11*G$30+H19*G$31+H27*G$32</f>
        <v/>
      </c>
    </row>
    <row r="42">
      <c r="A42" s="9" t="inlineStr">
        <is>
          <t>ОТВЕТ: Лучший проект — B (F ≈ 0,260)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Расчёт латентных переменных — К1</t>
        </is>
      </c>
    </row>
    <row r="3">
      <c r="A3" s="3" t="inlineStr"/>
      <c r="B3" s="3" t="inlineStr">
        <is>
          <t>A</t>
        </is>
      </c>
      <c r="C3" s="3" t="inlineStr">
        <is>
          <t>B</t>
        </is>
      </c>
      <c r="D3" s="3" t="inlineStr">
        <is>
          <t>C</t>
        </is>
      </c>
      <c r="E3" s="3" t="inlineStr">
        <is>
          <t>D</t>
        </is>
      </c>
    </row>
    <row r="4">
      <c r="A4" s="4" t="inlineStr">
        <is>
          <t>A</t>
        </is>
      </c>
      <c r="B4" s="5" t="n">
        <v>0.5</v>
      </c>
      <c r="C4" s="5" t="n">
        <v>0.2</v>
      </c>
      <c r="D4" s="5" t="n">
        <v>0.6</v>
      </c>
      <c r="E4" s="5" t="n">
        <v>0.4</v>
      </c>
    </row>
    <row r="5">
      <c r="A5" s="4" t="inlineStr">
        <is>
          <t>B</t>
        </is>
      </c>
      <c r="B5" s="5" t="n">
        <v>0.8</v>
      </c>
      <c r="C5" s="5" t="n">
        <v>0.5</v>
      </c>
      <c r="D5" s="5" t="n">
        <v>0.4</v>
      </c>
      <c r="E5" s="5" t="n">
        <v>0.1</v>
      </c>
    </row>
    <row r="6">
      <c r="A6" s="4" t="inlineStr">
        <is>
          <t>C</t>
        </is>
      </c>
      <c r="B6" s="5" t="n">
        <v>0.4</v>
      </c>
      <c r="C6" s="5" t="n">
        <v>0.6</v>
      </c>
      <c r="D6" s="5" t="n">
        <v>0.5</v>
      </c>
      <c r="E6" s="5" t="n">
        <v>0.7</v>
      </c>
    </row>
    <row r="7">
      <c r="A7" s="4" t="inlineStr">
        <is>
          <t>D</t>
        </is>
      </c>
      <c r="B7" s="5" t="n">
        <v>0.6</v>
      </c>
      <c r="C7" s="5" t="n">
        <v>0.9</v>
      </c>
      <c r="D7" s="5" t="n">
        <v>0.3</v>
      </c>
      <c r="E7" s="5" t="n">
        <v>0.5</v>
      </c>
    </row>
    <row r="9">
      <c r="A9" s="7" t="inlineStr">
        <is>
          <t>Оценки β:</t>
        </is>
      </c>
    </row>
    <row r="10">
      <c r="A10" s="4" t="inlineStr">
        <is>
          <t>A</t>
        </is>
      </c>
      <c r="B10" s="4" t="inlineStr">
        <is>
          <t>B</t>
        </is>
      </c>
      <c r="C10" s="4" t="inlineStr">
        <is>
          <t>C</t>
        </is>
      </c>
      <c r="D10" s="4" t="inlineStr">
        <is>
          <t>D</t>
        </is>
      </c>
    </row>
    <row r="11">
      <c r="A11" s="6" t="n">
        <v>0.6309</v>
      </c>
      <c r="B11" s="6" t="n">
        <v>0.7703</v>
      </c>
      <c r="C11" s="6" t="n">
        <v>1.1809</v>
      </c>
      <c r="D11" s="6" t="n">
        <v>1.2558</v>
      </c>
    </row>
    <row r="12">
      <c r="A12" s="7" t="inlineStr">
        <is>
          <t>Модельная матрица:</t>
        </is>
      </c>
    </row>
    <row r="13">
      <c r="A13" s="3" t="inlineStr"/>
      <c r="B13" s="3" t="inlineStr">
        <is>
          <t>A</t>
        </is>
      </c>
      <c r="C13" s="3" t="inlineStr">
        <is>
          <t>B</t>
        </is>
      </c>
      <c r="D13" s="3" t="inlineStr">
        <is>
          <t>C</t>
        </is>
      </c>
      <c r="E13" s="3" t="inlineStr">
        <is>
          <t>D</t>
        </is>
      </c>
    </row>
    <row r="14">
      <c r="A14" s="4" t="inlineStr">
        <is>
          <t>A</t>
        </is>
      </c>
      <c r="B14" s="5">
        <f>EXP($A$11-$A$11)/(1+EXP($A$11-$A$11))</f>
        <v/>
      </c>
      <c r="C14" s="5">
        <f>EXP($A$11-$B$11)/(1+EXP($A$11-$B$11))</f>
        <v/>
      </c>
      <c r="D14" s="5">
        <f>EXP($A$11-$C$11)/(1+EXP($A$11-$C$11))</f>
        <v/>
      </c>
      <c r="E14" s="5">
        <f>EXP($A$11-$D$11)/(1+EXP($A$11-$D$11))</f>
        <v/>
      </c>
    </row>
    <row r="15">
      <c r="A15" s="4" t="inlineStr">
        <is>
          <t>B</t>
        </is>
      </c>
      <c r="B15" s="5">
        <f>EXP($B$11-$A$11)/(1+EXP($B$11-$A$11))</f>
        <v/>
      </c>
      <c r="C15" s="5">
        <f>EXP($B$11-$B$11)/(1+EXP($B$11-$B$11))</f>
        <v/>
      </c>
      <c r="D15" s="5">
        <f>EXP($B$11-$C$11)/(1+EXP($B$11-$C$11))</f>
        <v/>
      </c>
      <c r="E15" s="5">
        <f>EXP($B$11-$D$11)/(1+EXP($B$11-$D$11))</f>
        <v/>
      </c>
    </row>
    <row r="16">
      <c r="A16" s="4" t="inlineStr">
        <is>
          <t>C</t>
        </is>
      </c>
      <c r="B16" s="5">
        <f>EXP($C$11-$A$11)/(1+EXP($C$11-$A$11))</f>
        <v/>
      </c>
      <c r="C16" s="5">
        <f>EXP($C$11-$B$11)/(1+EXP($C$11-$B$11))</f>
        <v/>
      </c>
      <c r="D16" s="5">
        <f>EXP($C$11-$C$11)/(1+EXP($C$11-$C$11))</f>
        <v/>
      </c>
      <c r="E16" s="5">
        <f>EXP($C$11-$D$11)/(1+EXP($C$11-$D$11))</f>
        <v/>
      </c>
    </row>
    <row r="17">
      <c r="A17" s="4" t="inlineStr">
        <is>
          <t>D</t>
        </is>
      </c>
      <c r="B17" s="5">
        <f>EXP($D$11-$A$11)/(1+EXP($D$11-$A$11))</f>
        <v/>
      </c>
      <c r="C17" s="5">
        <f>EXP($D$11-$B$11)/(1+EXP($D$11-$B$11))</f>
        <v/>
      </c>
      <c r="D17" s="5">
        <f>EXP($D$11-$C$11)/(1+EXP($D$11-$C$11))</f>
        <v/>
      </c>
      <c r="E17" s="5">
        <f>EXP($D$11-$D$11)/(1+EXP($D$11-$D$11))</f>
        <v/>
      </c>
    </row>
    <row r="18">
      <c r="A18" s="7" t="inlineStr">
        <is>
          <t>(p'ij - Pij)^2:</t>
        </is>
      </c>
    </row>
    <row r="19">
      <c r="A19" s="3" t="inlineStr"/>
      <c r="B19" s="3" t="inlineStr">
        <is>
          <t>A</t>
        </is>
      </c>
      <c r="C19" s="3" t="inlineStr">
        <is>
          <t>B</t>
        </is>
      </c>
      <c r="D19" s="3" t="inlineStr">
        <is>
          <t>C</t>
        </is>
      </c>
      <c r="E19" s="3" t="inlineStr">
        <is>
          <t>D</t>
        </is>
      </c>
    </row>
    <row r="20">
      <c r="A20" s="4" t="inlineStr">
        <is>
          <t>A</t>
        </is>
      </c>
      <c r="B20" s="5">
        <f>(B4-B14)^2</f>
        <v/>
      </c>
      <c r="C20" s="5">
        <f>(C4-C14)^2</f>
        <v/>
      </c>
      <c r="D20" s="5">
        <f>(D4-D14)^2</f>
        <v/>
      </c>
      <c r="E20" s="5">
        <f>(E4-E14)^2</f>
        <v/>
      </c>
    </row>
    <row r="21">
      <c r="A21" s="4" t="inlineStr">
        <is>
          <t>B</t>
        </is>
      </c>
      <c r="B21" s="5">
        <f>(B5-B15)^2</f>
        <v/>
      </c>
      <c r="C21" s="5">
        <f>(C5-C15)^2</f>
        <v/>
      </c>
      <c r="D21" s="5">
        <f>(D5-D15)^2</f>
        <v/>
      </c>
      <c r="E21" s="5">
        <f>(E5-E15)^2</f>
        <v/>
      </c>
    </row>
    <row r="22">
      <c r="A22" s="4" t="inlineStr">
        <is>
          <t>C</t>
        </is>
      </c>
      <c r="B22" s="5">
        <f>(B6-B16)^2</f>
        <v/>
      </c>
      <c r="C22" s="5">
        <f>(C6-C16)^2</f>
        <v/>
      </c>
      <c r="D22" s="5">
        <f>(D6-D16)^2</f>
        <v/>
      </c>
      <c r="E22" s="5">
        <f>(E6-E16)^2</f>
        <v/>
      </c>
    </row>
    <row r="23">
      <c r="A23" s="4" t="inlineStr">
        <is>
          <t>D</t>
        </is>
      </c>
      <c r="B23" s="5">
        <f>(B7-B17)^2</f>
        <v/>
      </c>
      <c r="C23" s="5">
        <f>(C7-C17)^2</f>
        <v/>
      </c>
      <c r="D23" s="5">
        <f>(D7-D17)^2</f>
        <v/>
      </c>
      <c r="E23" s="5">
        <f>(E7-E17)^2</f>
        <v/>
      </c>
    </row>
    <row r="25">
      <c r="A25" s="7" t="inlineStr">
        <is>
          <t>Целевая (→ min):</t>
        </is>
      </c>
      <c r="B25" s="8">
        <f>SUM(B20:E23)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Расчёт латентных переменных — К2</t>
        </is>
      </c>
    </row>
    <row r="3">
      <c r="A3" s="3" t="inlineStr"/>
      <c r="B3" s="3" t="inlineStr">
        <is>
          <t>A</t>
        </is>
      </c>
      <c r="C3" s="3" t="inlineStr">
        <is>
          <t>B</t>
        </is>
      </c>
      <c r="D3" s="3" t="inlineStr">
        <is>
          <t>C</t>
        </is>
      </c>
      <c r="E3" s="3" t="inlineStr">
        <is>
          <t>D</t>
        </is>
      </c>
    </row>
    <row r="4">
      <c r="A4" s="4" t="inlineStr">
        <is>
          <t>A</t>
        </is>
      </c>
      <c r="B4" s="5" t="n">
        <v>0.5</v>
      </c>
      <c r="C4" s="5" t="n">
        <v>0.6</v>
      </c>
      <c r="D4" s="5" t="n">
        <v>0.7</v>
      </c>
      <c r="E4" s="5" t="n">
        <v>0.3</v>
      </c>
    </row>
    <row r="5">
      <c r="A5" s="4" t="inlineStr">
        <is>
          <t>B</t>
        </is>
      </c>
      <c r="B5" s="5" t="n">
        <v>0.4</v>
      </c>
      <c r="C5" s="5" t="n">
        <v>0.5</v>
      </c>
      <c r="D5" s="5" t="n">
        <v>0.6</v>
      </c>
      <c r="E5" s="5" t="n">
        <v>0.8</v>
      </c>
    </row>
    <row r="6">
      <c r="A6" s="4" t="inlineStr">
        <is>
          <t>C</t>
        </is>
      </c>
      <c r="B6" s="5" t="n">
        <v>0.3</v>
      </c>
      <c r="C6" s="5" t="n">
        <v>0.4</v>
      </c>
      <c r="D6" s="5" t="n">
        <v>0.5</v>
      </c>
      <c r="E6" s="5" t="n">
        <v>0.7</v>
      </c>
    </row>
    <row r="7">
      <c r="A7" s="4" t="inlineStr">
        <is>
          <t>D</t>
        </is>
      </c>
      <c r="B7" s="5" t="n">
        <v>0.7</v>
      </c>
      <c r="C7" s="5" t="n">
        <v>0.2</v>
      </c>
      <c r="D7" s="5" t="n">
        <v>0.3</v>
      </c>
      <c r="E7" s="5" t="n">
        <v>0.5</v>
      </c>
    </row>
    <row r="9">
      <c r="A9" s="7" t="inlineStr">
        <is>
          <t>Оценки β:</t>
        </is>
      </c>
    </row>
    <row r="10">
      <c r="A10" s="4" t="inlineStr">
        <is>
          <t>A</t>
        </is>
      </c>
      <c r="B10" s="4" t="inlineStr">
        <is>
          <t>B</t>
        </is>
      </c>
      <c r="C10" s="4" t="inlineStr">
        <is>
          <t>C</t>
        </is>
      </c>
      <c r="D10" s="4" t="inlineStr">
        <is>
          <t>D</t>
        </is>
      </c>
    </row>
    <row r="11">
      <c r="A11" s="6" t="n">
        <v>1.1432</v>
      </c>
      <c r="B11" s="6" t="n">
        <v>1.3255</v>
      </c>
      <c r="C11" s="6" t="n">
        <v>0.9307</v>
      </c>
      <c r="D11" s="6" t="n">
        <v>0.7278</v>
      </c>
    </row>
    <row r="12">
      <c r="A12" s="7" t="inlineStr">
        <is>
          <t>Модельная матрица:</t>
        </is>
      </c>
    </row>
    <row r="13">
      <c r="A13" s="3" t="inlineStr"/>
      <c r="B13" s="3" t="inlineStr">
        <is>
          <t>A</t>
        </is>
      </c>
      <c r="C13" s="3" t="inlineStr">
        <is>
          <t>B</t>
        </is>
      </c>
      <c r="D13" s="3" t="inlineStr">
        <is>
          <t>C</t>
        </is>
      </c>
      <c r="E13" s="3" t="inlineStr">
        <is>
          <t>D</t>
        </is>
      </c>
    </row>
    <row r="14">
      <c r="A14" s="4" t="inlineStr">
        <is>
          <t>A</t>
        </is>
      </c>
      <c r="B14" s="5">
        <f>EXP($A$11-$A$11)/(1+EXP($A$11-$A$11))</f>
        <v/>
      </c>
      <c r="C14" s="5">
        <f>EXP($A$11-$B$11)/(1+EXP($A$11-$B$11))</f>
        <v/>
      </c>
      <c r="D14" s="5">
        <f>EXP($A$11-$C$11)/(1+EXP($A$11-$C$11))</f>
        <v/>
      </c>
      <c r="E14" s="5">
        <f>EXP($A$11-$D$11)/(1+EXP($A$11-$D$11))</f>
        <v/>
      </c>
    </row>
    <row r="15">
      <c r="A15" s="4" t="inlineStr">
        <is>
          <t>B</t>
        </is>
      </c>
      <c r="B15" s="5">
        <f>EXP($B$11-$A$11)/(1+EXP($B$11-$A$11))</f>
        <v/>
      </c>
      <c r="C15" s="5">
        <f>EXP($B$11-$B$11)/(1+EXP($B$11-$B$11))</f>
        <v/>
      </c>
      <c r="D15" s="5">
        <f>EXP($B$11-$C$11)/(1+EXP($B$11-$C$11))</f>
        <v/>
      </c>
      <c r="E15" s="5">
        <f>EXP($B$11-$D$11)/(1+EXP($B$11-$D$11))</f>
        <v/>
      </c>
    </row>
    <row r="16">
      <c r="A16" s="4" t="inlineStr">
        <is>
          <t>C</t>
        </is>
      </c>
      <c r="B16" s="5">
        <f>EXP($C$11-$A$11)/(1+EXP($C$11-$A$11))</f>
        <v/>
      </c>
      <c r="C16" s="5">
        <f>EXP($C$11-$B$11)/(1+EXP($C$11-$B$11))</f>
        <v/>
      </c>
      <c r="D16" s="5">
        <f>EXP($C$11-$C$11)/(1+EXP($C$11-$C$11))</f>
        <v/>
      </c>
      <c r="E16" s="5">
        <f>EXP($C$11-$D$11)/(1+EXP($C$11-$D$11))</f>
        <v/>
      </c>
    </row>
    <row r="17">
      <c r="A17" s="4" t="inlineStr">
        <is>
          <t>D</t>
        </is>
      </c>
      <c r="B17" s="5">
        <f>EXP($D$11-$A$11)/(1+EXP($D$11-$A$11))</f>
        <v/>
      </c>
      <c r="C17" s="5">
        <f>EXP($D$11-$B$11)/(1+EXP($D$11-$B$11))</f>
        <v/>
      </c>
      <c r="D17" s="5">
        <f>EXP($D$11-$C$11)/(1+EXP($D$11-$C$11))</f>
        <v/>
      </c>
      <c r="E17" s="5">
        <f>EXP($D$11-$D$11)/(1+EXP($D$11-$D$11))</f>
        <v/>
      </c>
    </row>
    <row r="18">
      <c r="A18" s="7" t="inlineStr">
        <is>
          <t>(p'ij - Pij)^2:</t>
        </is>
      </c>
    </row>
    <row r="19">
      <c r="A19" s="3" t="inlineStr"/>
      <c r="B19" s="3" t="inlineStr">
        <is>
          <t>A</t>
        </is>
      </c>
      <c r="C19" s="3" t="inlineStr">
        <is>
          <t>B</t>
        </is>
      </c>
      <c r="D19" s="3" t="inlineStr">
        <is>
          <t>C</t>
        </is>
      </c>
      <c r="E19" s="3" t="inlineStr">
        <is>
          <t>D</t>
        </is>
      </c>
    </row>
    <row r="20">
      <c r="A20" s="4" t="inlineStr">
        <is>
          <t>A</t>
        </is>
      </c>
      <c r="B20" s="5">
        <f>(B4-B14)^2</f>
        <v/>
      </c>
      <c r="C20" s="5">
        <f>(C4-C14)^2</f>
        <v/>
      </c>
      <c r="D20" s="5">
        <f>(D4-D14)^2</f>
        <v/>
      </c>
      <c r="E20" s="5">
        <f>(E4-E14)^2</f>
        <v/>
      </c>
    </row>
    <row r="21">
      <c r="A21" s="4" t="inlineStr">
        <is>
          <t>B</t>
        </is>
      </c>
      <c r="B21" s="5">
        <f>(B5-B15)^2</f>
        <v/>
      </c>
      <c r="C21" s="5">
        <f>(C5-C15)^2</f>
        <v/>
      </c>
      <c r="D21" s="5">
        <f>(D5-D15)^2</f>
        <v/>
      </c>
      <c r="E21" s="5">
        <f>(E5-E15)^2</f>
        <v/>
      </c>
    </row>
    <row r="22">
      <c r="A22" s="4" t="inlineStr">
        <is>
          <t>C</t>
        </is>
      </c>
      <c r="B22" s="5">
        <f>(B6-B16)^2</f>
        <v/>
      </c>
      <c r="C22" s="5">
        <f>(C6-C16)^2</f>
        <v/>
      </c>
      <c r="D22" s="5">
        <f>(D6-D16)^2</f>
        <v/>
      </c>
      <c r="E22" s="5">
        <f>(E6-E16)^2</f>
        <v/>
      </c>
    </row>
    <row r="23">
      <c r="A23" s="4" t="inlineStr">
        <is>
          <t>D</t>
        </is>
      </c>
      <c r="B23" s="5">
        <f>(B7-B17)^2</f>
        <v/>
      </c>
      <c r="C23" s="5">
        <f>(C7-C17)^2</f>
        <v/>
      </c>
      <c r="D23" s="5">
        <f>(D7-D17)^2</f>
        <v/>
      </c>
      <c r="E23" s="5">
        <f>(E7-E17)^2</f>
        <v/>
      </c>
    </row>
    <row r="25">
      <c r="A25" s="7" t="inlineStr">
        <is>
          <t>Целевая (→ min):</t>
        </is>
      </c>
      <c r="B25" s="8">
        <f>SUM(B20:E23)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Расчёт латентных переменных — К3</t>
        </is>
      </c>
    </row>
    <row r="3">
      <c r="A3" s="3" t="inlineStr"/>
      <c r="B3" s="3" t="inlineStr">
        <is>
          <t>A</t>
        </is>
      </c>
      <c r="C3" s="3" t="inlineStr">
        <is>
          <t>B</t>
        </is>
      </c>
      <c r="D3" s="3" t="inlineStr">
        <is>
          <t>C</t>
        </is>
      </c>
      <c r="E3" s="3" t="inlineStr">
        <is>
          <t>D</t>
        </is>
      </c>
    </row>
    <row r="4">
      <c r="A4" s="4" t="inlineStr">
        <is>
          <t>A</t>
        </is>
      </c>
      <c r="B4" s="5" t="n">
        <v>0.5</v>
      </c>
      <c r="C4" s="5" t="n">
        <v>0.7</v>
      </c>
      <c r="D4" s="5" t="n">
        <v>0.2</v>
      </c>
      <c r="E4" s="5" t="n">
        <v>0.8</v>
      </c>
    </row>
    <row r="5">
      <c r="A5" s="4" t="inlineStr">
        <is>
          <t>B</t>
        </is>
      </c>
      <c r="B5" s="5" t="n">
        <v>0.3</v>
      </c>
      <c r="C5" s="5" t="n">
        <v>0.5</v>
      </c>
      <c r="D5" s="5" t="n">
        <v>0.6</v>
      </c>
      <c r="E5" s="5" t="n">
        <v>0.7</v>
      </c>
    </row>
    <row r="6">
      <c r="A6" s="4" t="inlineStr">
        <is>
          <t>C</t>
        </is>
      </c>
      <c r="B6" s="5" t="n">
        <v>0.8</v>
      </c>
      <c r="C6" s="5" t="n">
        <v>0.4</v>
      </c>
      <c r="D6" s="5" t="n">
        <v>0.5</v>
      </c>
      <c r="E6" s="5" t="n">
        <v>0.1</v>
      </c>
    </row>
    <row r="7">
      <c r="A7" s="4" t="inlineStr">
        <is>
          <t>D</t>
        </is>
      </c>
      <c r="B7" s="5" t="n">
        <v>0.2</v>
      </c>
      <c r="C7" s="5" t="n">
        <v>0.3</v>
      </c>
      <c r="D7" s="5" t="n">
        <v>0.9</v>
      </c>
      <c r="E7" s="5" t="n">
        <v>0.5</v>
      </c>
    </row>
    <row r="9">
      <c r="A9" s="7" t="inlineStr">
        <is>
          <t>Оценки β:</t>
        </is>
      </c>
    </row>
    <row r="10">
      <c r="A10" s="4" t="inlineStr">
        <is>
          <t>A</t>
        </is>
      </c>
      <c r="B10" s="4" t="inlineStr">
        <is>
          <t>B</t>
        </is>
      </c>
      <c r="C10" s="4" t="inlineStr">
        <is>
          <t>C</t>
        </is>
      </c>
      <c r="D10" s="4" t="inlineStr">
        <is>
          <t>D</t>
        </is>
      </c>
    </row>
    <row r="11">
      <c r="A11" s="6" t="n">
        <v>1.221</v>
      </c>
      <c r="B11" s="6" t="n">
        <v>1.1054</v>
      </c>
      <c r="C11" s="6" t="n">
        <v>0.787</v>
      </c>
      <c r="D11" s="6" t="n">
        <v>0.9106</v>
      </c>
    </row>
    <row r="12">
      <c r="A12" s="7" t="inlineStr">
        <is>
          <t>Модельная матрица:</t>
        </is>
      </c>
    </row>
    <row r="13">
      <c r="A13" s="3" t="inlineStr"/>
      <c r="B13" s="3" t="inlineStr">
        <is>
          <t>A</t>
        </is>
      </c>
      <c r="C13" s="3" t="inlineStr">
        <is>
          <t>B</t>
        </is>
      </c>
      <c r="D13" s="3" t="inlineStr">
        <is>
          <t>C</t>
        </is>
      </c>
      <c r="E13" s="3" t="inlineStr">
        <is>
          <t>D</t>
        </is>
      </c>
    </row>
    <row r="14">
      <c r="A14" s="4" t="inlineStr">
        <is>
          <t>A</t>
        </is>
      </c>
      <c r="B14" s="5">
        <f>EXP($A$11-$A$11)/(1+EXP($A$11-$A$11))</f>
        <v/>
      </c>
      <c r="C14" s="5">
        <f>EXP($A$11-$B$11)/(1+EXP($A$11-$B$11))</f>
        <v/>
      </c>
      <c r="D14" s="5">
        <f>EXP($A$11-$C$11)/(1+EXP($A$11-$C$11))</f>
        <v/>
      </c>
      <c r="E14" s="5">
        <f>EXP($A$11-$D$11)/(1+EXP($A$11-$D$11))</f>
        <v/>
      </c>
    </row>
    <row r="15">
      <c r="A15" s="4" t="inlineStr">
        <is>
          <t>B</t>
        </is>
      </c>
      <c r="B15" s="5">
        <f>EXP($B$11-$A$11)/(1+EXP($B$11-$A$11))</f>
        <v/>
      </c>
      <c r="C15" s="5">
        <f>EXP($B$11-$B$11)/(1+EXP($B$11-$B$11))</f>
        <v/>
      </c>
      <c r="D15" s="5">
        <f>EXP($B$11-$C$11)/(1+EXP($B$11-$C$11))</f>
        <v/>
      </c>
      <c r="E15" s="5">
        <f>EXP($B$11-$D$11)/(1+EXP($B$11-$D$11))</f>
        <v/>
      </c>
    </row>
    <row r="16">
      <c r="A16" s="4" t="inlineStr">
        <is>
          <t>C</t>
        </is>
      </c>
      <c r="B16" s="5">
        <f>EXP($C$11-$A$11)/(1+EXP($C$11-$A$11))</f>
        <v/>
      </c>
      <c r="C16" s="5">
        <f>EXP($C$11-$B$11)/(1+EXP($C$11-$B$11))</f>
        <v/>
      </c>
      <c r="D16" s="5">
        <f>EXP($C$11-$C$11)/(1+EXP($C$11-$C$11))</f>
        <v/>
      </c>
      <c r="E16" s="5">
        <f>EXP($C$11-$D$11)/(1+EXP($C$11-$D$11))</f>
        <v/>
      </c>
    </row>
    <row r="17">
      <c r="A17" s="4" t="inlineStr">
        <is>
          <t>D</t>
        </is>
      </c>
      <c r="B17" s="5">
        <f>EXP($D$11-$A$11)/(1+EXP($D$11-$A$11))</f>
        <v/>
      </c>
      <c r="C17" s="5">
        <f>EXP($D$11-$B$11)/(1+EXP($D$11-$B$11))</f>
        <v/>
      </c>
      <c r="D17" s="5">
        <f>EXP($D$11-$C$11)/(1+EXP($D$11-$C$11))</f>
        <v/>
      </c>
      <c r="E17" s="5">
        <f>EXP($D$11-$D$11)/(1+EXP($D$11-$D$11))</f>
        <v/>
      </c>
    </row>
    <row r="18">
      <c r="A18" s="7" t="inlineStr">
        <is>
          <t>(p'ij - Pij)^2:</t>
        </is>
      </c>
    </row>
    <row r="19">
      <c r="A19" s="3" t="inlineStr"/>
      <c r="B19" s="3" t="inlineStr">
        <is>
          <t>A</t>
        </is>
      </c>
      <c r="C19" s="3" t="inlineStr">
        <is>
          <t>B</t>
        </is>
      </c>
      <c r="D19" s="3" t="inlineStr">
        <is>
          <t>C</t>
        </is>
      </c>
      <c r="E19" s="3" t="inlineStr">
        <is>
          <t>D</t>
        </is>
      </c>
    </row>
    <row r="20">
      <c r="A20" s="4" t="inlineStr">
        <is>
          <t>A</t>
        </is>
      </c>
      <c r="B20" s="5">
        <f>(B4-B14)^2</f>
        <v/>
      </c>
      <c r="C20" s="5">
        <f>(C4-C14)^2</f>
        <v/>
      </c>
      <c r="D20" s="5">
        <f>(D4-D14)^2</f>
        <v/>
      </c>
      <c r="E20" s="5">
        <f>(E4-E14)^2</f>
        <v/>
      </c>
    </row>
    <row r="21">
      <c r="A21" s="4" t="inlineStr">
        <is>
          <t>B</t>
        </is>
      </c>
      <c r="B21" s="5">
        <f>(B5-B15)^2</f>
        <v/>
      </c>
      <c r="C21" s="5">
        <f>(C5-C15)^2</f>
        <v/>
      </c>
      <c r="D21" s="5">
        <f>(D5-D15)^2</f>
        <v/>
      </c>
      <c r="E21" s="5">
        <f>(E5-E15)^2</f>
        <v/>
      </c>
    </row>
    <row r="22">
      <c r="A22" s="4" t="inlineStr">
        <is>
          <t>C</t>
        </is>
      </c>
      <c r="B22" s="5">
        <f>(B6-B16)^2</f>
        <v/>
      </c>
      <c r="C22" s="5">
        <f>(C6-C16)^2</f>
        <v/>
      </c>
      <c r="D22" s="5">
        <f>(D6-D16)^2</f>
        <v/>
      </c>
      <c r="E22" s="5">
        <f>(E6-E16)^2</f>
        <v/>
      </c>
    </row>
    <row r="23">
      <c r="A23" s="4" t="inlineStr">
        <is>
          <t>D</t>
        </is>
      </c>
      <c r="B23" s="5">
        <f>(B7-B17)^2</f>
        <v/>
      </c>
      <c r="C23" s="5">
        <f>(C7-C17)^2</f>
        <v/>
      </c>
      <c r="D23" s="5">
        <f>(D7-D17)^2</f>
        <v/>
      </c>
      <c r="E23" s="5">
        <f>(E7-E17)^2</f>
        <v/>
      </c>
    </row>
    <row r="25">
      <c r="A25" s="7" t="inlineStr">
        <is>
          <t>Целевая (→ min):</t>
        </is>
      </c>
      <c r="B25" s="8">
        <f>SUM(B20:E23)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Расчёт латентных переменных — Критерии</t>
        </is>
      </c>
    </row>
    <row r="3">
      <c r="A3" s="3" t="inlineStr"/>
      <c r="B3" s="3" t="inlineStr">
        <is>
          <t>К1</t>
        </is>
      </c>
      <c r="C3" s="3" t="inlineStr">
        <is>
          <t>К2</t>
        </is>
      </c>
      <c r="D3" s="3" t="inlineStr">
        <is>
          <t>К3</t>
        </is>
      </c>
    </row>
    <row r="4">
      <c r="A4" s="4" t="inlineStr">
        <is>
          <t>К1</t>
        </is>
      </c>
      <c r="B4" s="5" t="n">
        <v>0.5</v>
      </c>
      <c r="C4" s="5" t="n">
        <v>0.7</v>
      </c>
      <c r="D4" s="5" t="n">
        <v>0.4</v>
      </c>
    </row>
    <row r="5">
      <c r="A5" s="4" t="inlineStr">
        <is>
          <t>К2</t>
        </is>
      </c>
      <c r="B5" s="5" t="n">
        <v>0.3</v>
      </c>
      <c r="C5" s="5" t="n">
        <v>0.5</v>
      </c>
      <c r="D5" s="5" t="n">
        <v>0.6</v>
      </c>
    </row>
    <row r="6">
      <c r="A6" s="4" t="inlineStr">
        <is>
          <t>К3</t>
        </is>
      </c>
      <c r="B6" s="5" t="n">
        <v>0.6</v>
      </c>
      <c r="C6" s="5" t="n">
        <v>0.4</v>
      </c>
      <c r="D6" s="5" t="n">
        <v>0.5</v>
      </c>
    </row>
    <row r="8">
      <c r="A8" s="7" t="inlineStr">
        <is>
          <t>Оценки β:</t>
        </is>
      </c>
    </row>
    <row r="9">
      <c r="A9" s="4" t="inlineStr">
        <is>
          <t>К1</t>
        </is>
      </c>
      <c r="B9" s="4" t="inlineStr">
        <is>
          <t>К2</t>
        </is>
      </c>
      <c r="C9" s="4" t="inlineStr">
        <is>
          <t>К3</t>
        </is>
      </c>
    </row>
    <row r="10">
      <c r="A10" s="6" t="n">
        <v>1.1265</v>
      </c>
      <c r="B10" s="6" t="n">
        <v>0.8633</v>
      </c>
      <c r="C10" s="6" t="n">
        <v>0.9949</v>
      </c>
    </row>
    <row r="11">
      <c r="A11" s="7" t="inlineStr">
        <is>
          <t>Модельная матрица:</t>
        </is>
      </c>
    </row>
    <row r="12">
      <c r="A12" s="3" t="inlineStr"/>
      <c r="B12" s="3" t="inlineStr">
        <is>
          <t>К1</t>
        </is>
      </c>
      <c r="C12" s="3" t="inlineStr">
        <is>
          <t>К2</t>
        </is>
      </c>
      <c r="D12" s="3" t="inlineStr">
        <is>
          <t>К3</t>
        </is>
      </c>
    </row>
    <row r="13">
      <c r="A13" s="4" t="inlineStr">
        <is>
          <t>К1</t>
        </is>
      </c>
      <c r="B13" s="5">
        <f>EXP($A$10-$A$10)/(1+EXP($A$10-$A$10))</f>
        <v/>
      </c>
      <c r="C13" s="5">
        <f>EXP($A$10-$B$10)/(1+EXP($A$10-$B$10))</f>
        <v/>
      </c>
      <c r="D13" s="5">
        <f>EXP($A$10-$C$10)/(1+EXP($A$10-$C$10))</f>
        <v/>
      </c>
    </row>
    <row r="14">
      <c r="A14" s="4" t="inlineStr">
        <is>
          <t>К2</t>
        </is>
      </c>
      <c r="B14" s="5">
        <f>EXP($B$10-$A$10)/(1+EXP($B$10-$A$10))</f>
        <v/>
      </c>
      <c r="C14" s="5">
        <f>EXP($B$10-$B$10)/(1+EXP($B$10-$B$10))</f>
        <v/>
      </c>
      <c r="D14" s="5">
        <f>EXP($B$10-$C$10)/(1+EXP($B$10-$C$10))</f>
        <v/>
      </c>
    </row>
    <row r="15">
      <c r="A15" s="4" t="inlineStr">
        <is>
          <t>К3</t>
        </is>
      </c>
      <c r="B15" s="5">
        <f>EXP($C$10-$A$10)/(1+EXP($C$10-$A$10))</f>
        <v/>
      </c>
      <c r="C15" s="5">
        <f>EXP($C$10-$B$10)/(1+EXP($C$10-$B$10))</f>
        <v/>
      </c>
      <c r="D15" s="5">
        <f>EXP($C$10-$C$10)/(1+EXP($C$10-$C$10))</f>
        <v/>
      </c>
    </row>
    <row r="16">
      <c r="A16" s="7" t="inlineStr">
        <is>
          <t>(p'ij - Pij)^2:</t>
        </is>
      </c>
    </row>
    <row r="17">
      <c r="A17" s="3" t="inlineStr"/>
      <c r="B17" s="3" t="inlineStr">
        <is>
          <t>К1</t>
        </is>
      </c>
      <c r="C17" s="3" t="inlineStr">
        <is>
          <t>К2</t>
        </is>
      </c>
      <c r="D17" s="3" t="inlineStr">
        <is>
          <t>К3</t>
        </is>
      </c>
    </row>
    <row r="18">
      <c r="A18" s="4" t="inlineStr">
        <is>
          <t>К1</t>
        </is>
      </c>
      <c r="B18" s="5">
        <f>(B4-B13)^2</f>
        <v/>
      </c>
      <c r="C18" s="5">
        <f>(C4-C13)^2</f>
        <v/>
      </c>
      <c r="D18" s="5">
        <f>(D4-D13)^2</f>
        <v/>
      </c>
    </row>
    <row r="19">
      <c r="A19" s="4" t="inlineStr">
        <is>
          <t>К2</t>
        </is>
      </c>
      <c r="B19" s="5">
        <f>(B5-B14)^2</f>
        <v/>
      </c>
      <c r="C19" s="5">
        <f>(C5-C14)^2</f>
        <v/>
      </c>
      <c r="D19" s="5">
        <f>(D5-D14)^2</f>
        <v/>
      </c>
    </row>
    <row r="20">
      <c r="A20" s="4" t="inlineStr">
        <is>
          <t>К3</t>
        </is>
      </c>
      <c r="B20" s="5">
        <f>(B6-B15)^2</f>
        <v/>
      </c>
      <c r="C20" s="5">
        <f>(C6-C15)^2</f>
        <v/>
      </c>
      <c r="D20" s="5">
        <f>(D6-D15)^2</f>
        <v/>
      </c>
    </row>
    <row r="22">
      <c r="A22" s="7" t="inlineStr">
        <is>
          <t>Целевая (→ min):</t>
        </is>
      </c>
      <c r="B22" s="8">
        <f>SUM(B18:D20)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Задание 1. Торговая фирма (максимизация прибыли, α=0,6)</t>
        </is>
      </c>
    </row>
    <row r="3">
      <c r="A3" s="3" t="inlineStr">
        <is>
          <t>Ai \ Sj</t>
        </is>
      </c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G3" s="3" t="inlineStr">
        <is>
          <t>Лаплас</t>
        </is>
      </c>
      <c r="H3" s="3" t="inlineStr">
        <is>
          <t>Вальд</t>
        </is>
      </c>
      <c r="I3" s="3" t="inlineStr">
        <is>
          <t>Оптимизм</t>
        </is>
      </c>
      <c r="J3" s="3" t="inlineStr">
        <is>
          <t>Сэвидж</t>
        </is>
      </c>
      <c r="K3" s="3" t="inlineStr">
        <is>
          <t>Гурвиц</t>
        </is>
      </c>
    </row>
    <row r="4">
      <c r="A4" s="11" t="inlineStr">
        <is>
          <t>А1</t>
        </is>
      </c>
      <c r="B4" s="5" t="n">
        <v>21</v>
      </c>
      <c r="C4" s="5" t="n">
        <v>12</v>
      </c>
      <c r="D4" s="5" t="n">
        <v>22</v>
      </c>
      <c r="E4" s="5" t="n">
        <v>25</v>
      </c>
      <c r="G4" s="5">
        <f>AVERAGE(B4:E4)</f>
        <v/>
      </c>
      <c r="H4" s="5">
        <f>MIN(B4:E4)</f>
        <v/>
      </c>
      <c r="I4" s="5">
        <f>MAX(B4:E4)</f>
        <v/>
      </c>
      <c r="J4" s="5">
        <f>MAX(B12:E12)</f>
        <v/>
      </c>
      <c r="K4" s="5">
        <f>0.6*MAX(B4:E4)+0.4*MIN(B4:E4)</f>
        <v/>
      </c>
    </row>
    <row r="5">
      <c r="A5" s="11" t="inlineStr">
        <is>
          <t>А2</t>
        </is>
      </c>
      <c r="B5" s="5" t="n">
        <v>20</v>
      </c>
      <c r="C5" s="5" t="n">
        <v>21</v>
      </c>
      <c r="D5" s="5" t="n">
        <v>18</v>
      </c>
      <c r="E5" s="5" t="n">
        <v>19</v>
      </c>
      <c r="G5" s="5">
        <f>AVERAGE(B5:E5)</f>
        <v/>
      </c>
      <c r="H5" s="5">
        <f>MIN(B5:E5)</f>
        <v/>
      </c>
      <c r="I5" s="5">
        <f>MAX(B5:E5)</f>
        <v/>
      </c>
      <c r="J5" s="5">
        <f>MAX(B13:E13)</f>
        <v/>
      </c>
      <c r="K5" s="5">
        <f>0.6*MAX(B5:E5)+0.4*MIN(B5:E5)</f>
        <v/>
      </c>
    </row>
    <row r="6">
      <c r="A6" s="11" t="inlineStr">
        <is>
          <t>А3</t>
        </is>
      </c>
      <c r="B6" s="5" t="n">
        <v>16</v>
      </c>
      <c r="C6" s="5" t="n">
        <v>33</v>
      </c>
      <c r="D6" s="5" t="n">
        <v>14</v>
      </c>
      <c r="E6" s="5" t="n">
        <v>17</v>
      </c>
      <c r="G6" s="5">
        <f>AVERAGE(B6:E6)</f>
        <v/>
      </c>
      <c r="H6" s="5">
        <f>MIN(B6:E6)</f>
        <v/>
      </c>
      <c r="I6" s="5">
        <f>MAX(B6:E6)</f>
        <v/>
      </c>
      <c r="J6" s="5">
        <f>MAX(B14:E14)</f>
        <v/>
      </c>
      <c r="K6" s="5">
        <f>0.6*MAX(B6:E6)+0.4*MIN(B6:E6)</f>
        <v/>
      </c>
    </row>
    <row r="7">
      <c r="A7" s="11" t="inlineStr">
        <is>
          <t>А4</t>
        </is>
      </c>
      <c r="B7" s="5" t="n">
        <v>23</v>
      </c>
      <c r="C7" s="5" t="n">
        <v>16</v>
      </c>
      <c r="D7" s="5" t="n">
        <v>19</v>
      </c>
      <c r="E7" s="5" t="n">
        <v>24</v>
      </c>
      <c r="G7" s="5">
        <f>AVERAGE(B7:E7)</f>
        <v/>
      </c>
      <c r="H7" s="5">
        <f>MIN(B7:E7)</f>
        <v/>
      </c>
      <c r="I7" s="5">
        <f>MAX(B7:E7)</f>
        <v/>
      </c>
      <c r="J7" s="5">
        <f>MAX(B15:E15)</f>
        <v/>
      </c>
      <c r="K7" s="5">
        <f>0.6*MAX(B7:E7)+0.4*MIN(B7:E7)</f>
        <v/>
      </c>
    </row>
    <row r="8">
      <c r="A8" s="11" t="inlineStr">
        <is>
          <t>А5</t>
        </is>
      </c>
      <c r="B8" s="5" t="n">
        <v>15</v>
      </c>
      <c r="C8" s="5" t="n">
        <v>16</v>
      </c>
      <c r="D8" s="5" t="n">
        <v>24</v>
      </c>
      <c r="E8" s="5" t="n">
        <v>26</v>
      </c>
      <c r="G8" s="5">
        <f>AVERAGE(B8:E8)</f>
        <v/>
      </c>
      <c r="H8" s="5">
        <f>MIN(B8:E8)</f>
        <v/>
      </c>
      <c r="I8" s="5">
        <f>MAX(B8:E8)</f>
        <v/>
      </c>
      <c r="J8" s="5">
        <f>MAX(B16:E16)</f>
        <v/>
      </c>
      <c r="K8" s="5">
        <f>0.6*MAX(B8:E8)+0.4*MIN(B8:E8)</f>
        <v/>
      </c>
    </row>
    <row r="10">
      <c r="A10" s="2" t="inlineStr">
        <is>
          <t>Матрица рисков</t>
        </is>
      </c>
    </row>
    <row r="11">
      <c r="A11" s="3" t="inlineStr"/>
      <c r="B11" s="3" t="inlineStr">
        <is>
          <t>S1</t>
        </is>
      </c>
      <c r="C11" s="3" t="inlineStr">
        <is>
          <t>S2</t>
        </is>
      </c>
      <c r="D11" s="3" t="inlineStr">
        <is>
          <t>S3</t>
        </is>
      </c>
      <c r="E11" s="3" t="inlineStr">
        <is>
          <t>S4</t>
        </is>
      </c>
    </row>
    <row r="12">
      <c r="A12" s="4" t="inlineStr">
        <is>
          <t>А1</t>
        </is>
      </c>
      <c r="B12" s="5">
        <f>MAX(B$4:B$8)-B4</f>
        <v/>
      </c>
      <c r="C12" s="5">
        <f>MAX(C$4:C$8)-C4</f>
        <v/>
      </c>
      <c r="D12" s="5">
        <f>MAX(D$4:D$8)-D4</f>
        <v/>
      </c>
      <c r="E12" s="5">
        <f>MAX(E$4:E$8)-E4</f>
        <v/>
      </c>
    </row>
    <row r="13">
      <c r="A13" s="4" t="inlineStr">
        <is>
          <t>А2</t>
        </is>
      </c>
      <c r="B13" s="5">
        <f>MAX(B$4:B$8)-B5</f>
        <v/>
      </c>
      <c r="C13" s="5">
        <f>MAX(C$4:C$8)-C5</f>
        <v/>
      </c>
      <c r="D13" s="5">
        <f>MAX(D$4:D$8)-D5</f>
        <v/>
      </c>
      <c r="E13" s="5">
        <f>MAX(E$4:E$8)-E5</f>
        <v/>
      </c>
    </row>
    <row r="14">
      <c r="A14" s="4" t="inlineStr">
        <is>
          <t>А3</t>
        </is>
      </c>
      <c r="B14" s="5">
        <f>MAX(B$4:B$8)-B6</f>
        <v/>
      </c>
      <c r="C14" s="5">
        <f>MAX(C$4:C$8)-C6</f>
        <v/>
      </c>
      <c r="D14" s="5">
        <f>MAX(D$4:D$8)-D6</f>
        <v/>
      </c>
      <c r="E14" s="5">
        <f>MAX(E$4:E$8)-E6</f>
        <v/>
      </c>
    </row>
    <row r="15">
      <c r="A15" s="4" t="inlineStr">
        <is>
          <t>А4</t>
        </is>
      </c>
      <c r="B15" s="5">
        <f>MAX(B$4:B$8)-B7</f>
        <v/>
      </c>
      <c r="C15" s="5">
        <f>MAX(C$4:C$8)-C7</f>
        <v/>
      </c>
      <c r="D15" s="5">
        <f>MAX(D$4:D$8)-D7</f>
        <v/>
      </c>
      <c r="E15" s="5">
        <f>MAX(E$4:E$8)-E7</f>
        <v/>
      </c>
    </row>
    <row r="16">
      <c r="A16" s="4" t="inlineStr">
        <is>
          <t>А5</t>
        </is>
      </c>
      <c r="B16" s="5">
        <f>MAX(B$4:B$8)-B8</f>
        <v/>
      </c>
      <c r="C16" s="5">
        <f>MAX(C$4:C$8)-C8</f>
        <v/>
      </c>
      <c r="D16" s="5">
        <f>MAX(D$4:D$8)-D8</f>
        <v/>
      </c>
      <c r="E16" s="5">
        <f>MAX(E$4:E$8)-E8</f>
        <v/>
      </c>
    </row>
    <row r="18">
      <c r="A18" s="2" t="inlineStr">
        <is>
          <t>Результаты:</t>
        </is>
      </c>
    </row>
    <row r="19">
      <c r="A19" s="4" t="inlineStr">
        <is>
          <t>Лаплас (max)</t>
        </is>
      </c>
      <c r="B19" s="12">
        <f>INDEX(A4:A8,MATCH(MAX(G4:G8),G4:G8,0))</f>
        <v/>
      </c>
    </row>
    <row r="20">
      <c r="A20" s="4" t="inlineStr">
        <is>
          <t>Вальд (max min)</t>
        </is>
      </c>
      <c r="B20" s="12">
        <f>INDEX(A4:A8,MATCH(MAX(H4:H8),H4:H8,0))</f>
        <v/>
      </c>
    </row>
    <row r="21">
      <c r="A21" s="4" t="inlineStr">
        <is>
          <t>Оптимизм (max max)</t>
        </is>
      </c>
      <c r="B21" s="12">
        <f>INDEX(A4:A8,MATCH(MAX(I4:I8),I4:I8,0))</f>
        <v/>
      </c>
    </row>
    <row r="22">
      <c r="A22" s="4" t="inlineStr">
        <is>
          <t>Сэвидж (min max risk)</t>
        </is>
      </c>
      <c r="B22" s="12">
        <f>INDEX(A4:A8,MATCH(MIN(J4:J8),J4:J8,0))</f>
        <v/>
      </c>
    </row>
    <row r="23">
      <c r="A23" s="4" t="inlineStr">
        <is>
          <t>Гурвиц (max)</t>
        </is>
      </c>
      <c r="B23" s="12">
        <f>INDEX(A4:A8,MATCH(MAX(K4:K8),K4:K8,0))</f>
        <v/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Задание 2. Нефтяная компания (минимизация затрат, α=0,6)</t>
        </is>
      </c>
    </row>
    <row r="3">
      <c r="A3" s="3" t="inlineStr">
        <is>
          <t>Ai \ Sj</t>
        </is>
      </c>
      <c r="B3" s="3" t="inlineStr">
        <is>
          <t>S1</t>
        </is>
      </c>
      <c r="C3" s="3" t="inlineStr">
        <is>
          <t>S2</t>
        </is>
      </c>
      <c r="D3" s="3" t="inlineStr">
        <is>
          <t>S3</t>
        </is>
      </c>
      <c r="E3" s="3" t="inlineStr">
        <is>
          <t>S4</t>
        </is>
      </c>
      <c r="F3" s="3" t="inlineStr">
        <is>
          <t>S5</t>
        </is>
      </c>
      <c r="H3" s="3" t="inlineStr">
        <is>
          <t>Лаплас</t>
        </is>
      </c>
      <c r="I3" s="3" t="inlineStr">
        <is>
          <t>Вальд</t>
        </is>
      </c>
      <c r="J3" s="3" t="inlineStr">
        <is>
          <t>Оптимизм</t>
        </is>
      </c>
      <c r="K3" s="3" t="inlineStr">
        <is>
          <t>Сэвидж</t>
        </is>
      </c>
      <c r="L3" s="3" t="inlineStr">
        <is>
          <t>Гурвиц</t>
        </is>
      </c>
    </row>
    <row r="4">
      <c r="A4" s="11" t="inlineStr">
        <is>
          <t>A</t>
        </is>
      </c>
      <c r="B4" s="5" t="n">
        <v>7</v>
      </c>
      <c r="C4" s="5" t="n">
        <v>12</v>
      </c>
      <c r="D4" s="5" t="n">
        <v>8</v>
      </c>
      <c r="E4" s="5" t="n">
        <v>10</v>
      </c>
      <c r="F4" s="5" t="n">
        <v>5</v>
      </c>
      <c r="H4" s="5">
        <f>AVERAGE(B4:F4)</f>
        <v/>
      </c>
      <c r="I4" s="5">
        <f>MAX(B4:F4)</f>
        <v/>
      </c>
      <c r="J4" s="5">
        <f>MIN(B4:F4)</f>
        <v/>
      </c>
      <c r="K4" s="5">
        <f>MAX(B11:F11)</f>
        <v/>
      </c>
      <c r="L4" s="5">
        <f>0.6*MIN(B4:F4)+0.4*MAX(B4:F4)</f>
        <v/>
      </c>
    </row>
    <row r="5">
      <c r="A5" s="11" t="inlineStr">
        <is>
          <t>B</t>
        </is>
      </c>
      <c r="B5" s="5" t="n">
        <v>9</v>
      </c>
      <c r="C5" s="5" t="n">
        <v>10</v>
      </c>
      <c r="D5" s="5" t="n">
        <v>7</v>
      </c>
      <c r="E5" s="5" t="n">
        <v>8</v>
      </c>
      <c r="F5" s="5" t="n">
        <v>9</v>
      </c>
      <c r="H5" s="5">
        <f>AVERAGE(B5:F5)</f>
        <v/>
      </c>
      <c r="I5" s="5">
        <f>MAX(B5:F5)</f>
        <v/>
      </c>
      <c r="J5" s="5">
        <f>MIN(B5:F5)</f>
        <v/>
      </c>
      <c r="K5" s="5">
        <f>MAX(B12:F12)</f>
        <v/>
      </c>
      <c r="L5" s="5">
        <f>0.6*MIN(B5:F5)+0.4*MAX(B5:F5)</f>
        <v/>
      </c>
    </row>
    <row r="6">
      <c r="A6" s="11" t="inlineStr">
        <is>
          <t>C</t>
        </is>
      </c>
      <c r="B6" s="5" t="n">
        <v>6</v>
      </c>
      <c r="C6" s="5" t="n">
        <v>8</v>
      </c>
      <c r="D6" s="5" t="n">
        <v>15</v>
      </c>
      <c r="E6" s="5" t="n">
        <v>9</v>
      </c>
      <c r="F6" s="5" t="n">
        <v>7</v>
      </c>
      <c r="H6" s="5">
        <f>AVERAGE(B6:F6)</f>
        <v/>
      </c>
      <c r="I6" s="5">
        <f>MAX(B6:F6)</f>
        <v/>
      </c>
      <c r="J6" s="5">
        <f>MIN(B6:F6)</f>
        <v/>
      </c>
      <c r="K6" s="5">
        <f>MAX(B13:F13)</f>
        <v/>
      </c>
      <c r="L6" s="5">
        <f>0.6*MIN(B6:F6)+0.4*MAX(B6:F6)</f>
        <v/>
      </c>
    </row>
    <row r="7">
      <c r="A7" s="11" t="inlineStr">
        <is>
          <t>D</t>
        </is>
      </c>
      <c r="B7" s="5" t="n">
        <v>9</v>
      </c>
      <c r="C7" s="5" t="n">
        <v>10</v>
      </c>
      <c r="D7" s="5" t="n">
        <v>8</v>
      </c>
      <c r="E7" s="5" t="n">
        <v>11</v>
      </c>
      <c r="F7" s="5" t="n">
        <v>7</v>
      </c>
      <c r="H7" s="5">
        <f>AVERAGE(B7:F7)</f>
        <v/>
      </c>
      <c r="I7" s="5">
        <f>MAX(B7:F7)</f>
        <v/>
      </c>
      <c r="J7" s="5">
        <f>MIN(B7:F7)</f>
        <v/>
      </c>
      <c r="K7" s="5">
        <f>MAX(B14:F14)</f>
        <v/>
      </c>
      <c r="L7" s="5">
        <f>0.6*MIN(B7:F7)+0.4*MAX(B7:F7)</f>
        <v/>
      </c>
    </row>
    <row r="9">
      <c r="A9" s="2" t="inlineStr">
        <is>
          <t>Матрица рисков</t>
        </is>
      </c>
    </row>
    <row r="10">
      <c r="A10" s="3" t="inlineStr"/>
      <c r="B10" s="3" t="inlineStr">
        <is>
          <t>S1</t>
        </is>
      </c>
      <c r="C10" s="3" t="inlineStr">
        <is>
          <t>S2</t>
        </is>
      </c>
      <c r="D10" s="3" t="inlineStr">
        <is>
          <t>S3</t>
        </is>
      </c>
      <c r="E10" s="3" t="inlineStr">
        <is>
          <t>S4</t>
        </is>
      </c>
      <c r="F10" s="3" t="inlineStr">
        <is>
          <t>S5</t>
        </is>
      </c>
    </row>
    <row r="11">
      <c r="A11" s="4" t="inlineStr">
        <is>
          <t>A</t>
        </is>
      </c>
      <c r="B11" s="5">
        <f>B4-MIN(B$4:B$7)</f>
        <v/>
      </c>
      <c r="C11" s="5">
        <f>C4-MIN(C$4:C$7)</f>
        <v/>
      </c>
      <c r="D11" s="5">
        <f>D4-MIN(D$4:D$7)</f>
        <v/>
      </c>
      <c r="E11" s="5">
        <f>E4-MIN(E$4:E$7)</f>
        <v/>
      </c>
      <c r="F11" s="5">
        <f>F4-MIN(F$4:F$7)</f>
        <v/>
      </c>
    </row>
    <row r="12">
      <c r="A12" s="4" t="inlineStr">
        <is>
          <t>B</t>
        </is>
      </c>
      <c r="B12" s="5">
        <f>B5-MIN(B$4:B$7)</f>
        <v/>
      </c>
      <c r="C12" s="5">
        <f>C5-MIN(C$4:C$7)</f>
        <v/>
      </c>
      <c r="D12" s="5">
        <f>D5-MIN(D$4:D$7)</f>
        <v/>
      </c>
      <c r="E12" s="5">
        <f>E5-MIN(E$4:E$7)</f>
        <v/>
      </c>
      <c r="F12" s="5">
        <f>F5-MIN(F$4:F$7)</f>
        <v/>
      </c>
    </row>
    <row r="13">
      <c r="A13" s="4" t="inlineStr">
        <is>
          <t>C</t>
        </is>
      </c>
      <c r="B13" s="5">
        <f>B6-MIN(B$4:B$7)</f>
        <v/>
      </c>
      <c r="C13" s="5">
        <f>C6-MIN(C$4:C$7)</f>
        <v/>
      </c>
      <c r="D13" s="5">
        <f>D6-MIN(D$4:D$7)</f>
        <v/>
      </c>
      <c r="E13" s="5">
        <f>E6-MIN(E$4:E$7)</f>
        <v/>
      </c>
      <c r="F13" s="5">
        <f>F6-MIN(F$4:F$7)</f>
        <v/>
      </c>
    </row>
    <row r="14">
      <c r="A14" s="4" t="inlineStr">
        <is>
          <t>D</t>
        </is>
      </c>
      <c r="B14" s="5">
        <f>B7-MIN(B$4:B$7)</f>
        <v/>
      </c>
      <c r="C14" s="5">
        <f>C7-MIN(C$4:C$7)</f>
        <v/>
      </c>
      <c r="D14" s="5">
        <f>D7-MIN(D$4:D$7)</f>
        <v/>
      </c>
      <c r="E14" s="5">
        <f>E7-MIN(E$4:E$7)</f>
        <v/>
      </c>
      <c r="F14" s="5">
        <f>F7-MIN(F$4:F$7)</f>
        <v/>
      </c>
    </row>
    <row r="16">
      <c r="A16" s="2" t="inlineStr">
        <is>
          <t>Результаты:</t>
        </is>
      </c>
    </row>
    <row r="17">
      <c r="A17" s="4" t="inlineStr">
        <is>
          <t>Лаплас (min)</t>
        </is>
      </c>
      <c r="B17" s="12">
        <f>INDEX(A4:A7,MATCH(MIN(H4:H7),H4:H7,0))</f>
        <v/>
      </c>
    </row>
    <row r="18">
      <c r="A18" s="4" t="inlineStr">
        <is>
          <t>Вальд (min max)</t>
        </is>
      </c>
      <c r="B18" s="12">
        <f>INDEX(A4:A7,MATCH(MIN(I4:I7),I4:I7,0))</f>
        <v/>
      </c>
    </row>
    <row r="19">
      <c r="A19" s="4" t="inlineStr">
        <is>
          <t>Оптимизм (min min)</t>
        </is>
      </c>
      <c r="B19" s="12">
        <f>INDEX(A4:A7,MATCH(MIN(J4:J7),J4:J7,0))</f>
        <v/>
      </c>
    </row>
    <row r="20">
      <c r="A20" s="4" t="inlineStr">
        <is>
          <t>Сэвидж (min max risk)</t>
        </is>
      </c>
      <c r="B20" s="12">
        <f>INDEX(A4:A7,MATCH(MIN(K4:K7),K4:K7,0))</f>
        <v/>
      </c>
    </row>
    <row r="21">
      <c r="A21" s="4" t="inlineStr">
        <is>
          <t>Гурвиц (min)</t>
        </is>
      </c>
      <c r="B21" s="12">
        <f>INDEX(A4:A7,MATCH(MIN(L4:L7),L4:L7,0))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2026-06-16T07:17:07Z</dcterms:created>
  <dcterms:modified xmlns:dcterms="http://purl.org/dc/terms/" xmlns:xsi="http://www.w3.org/2001/XMLSchema-instance" xsi:type="dcterms:W3CDTF">2026-06-16T07:17:07Z</dcterms:modified>
</cp:coreProperties>
</file>