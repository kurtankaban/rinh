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" sheetId="1" state="visible" r:id="rId1"/>
    <sheet xmlns:r="http://schemas.openxmlformats.org/officeDocument/2006/relationships" name="Задание 2" sheetId="2" state="visible" r:id="rId2"/>
    <sheet xmlns:r="http://schemas.openxmlformats.org/officeDocument/2006/relationships" name="Задание 3" sheetId="3" state="visible" r:id="rId3"/>
    <sheet xmlns:r="http://schemas.openxmlformats.org/officeDocument/2006/relationships" name="Задание МА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00FF"/>
    </font>
    <font>
      <i val="1"/>
      <color rgb="00666666"/>
    </font>
    <font>
      <i val="1"/>
    </font>
    <font>
      <b val="1"/>
      <sz val="12"/>
    </font>
    <font>
      <b val="1"/>
      <color rgb="00FF0000"/>
      <sz val="14"/>
    </font>
    <font>
      <b val="1"/>
      <color rgb="00008000"/>
      <sz val="12"/>
    </font>
    <font>
      <b val="1"/>
      <color rgb="00008000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7" fillId="4" borderId="0" pivotButton="0" quotePrefix="0" xfId="0"/>
    <xf numFmtId="0" fontId="8" fillId="3" borderId="0" pivotButton="0" quotePrefix="0" xfId="0"/>
    <xf numFmtId="0" fontId="0" fillId="0" borderId="1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Задание 1. Выбор адвоката (взвешенная сумма)</t>
        </is>
      </c>
    </row>
    <row r="3">
      <c r="A3" s="2" t="inlineStr">
        <is>
          <t>Альтернатива</t>
        </is>
      </c>
      <c r="B3" s="2" t="inlineStr">
        <is>
          <t>К1</t>
        </is>
      </c>
      <c r="C3" s="2" t="inlineStr">
        <is>
          <t>К2</t>
        </is>
      </c>
      <c r="D3" s="2" t="inlineStr">
        <is>
          <t>К3</t>
        </is>
      </c>
      <c r="E3" s="2" t="inlineStr">
        <is>
          <t>К4</t>
        </is>
      </c>
      <c r="F3" s="3" t="n"/>
      <c r="G3" s="2" t="inlineStr">
        <is>
          <t>К1*w1</t>
        </is>
      </c>
      <c r="H3" s="2" t="inlineStr">
        <is>
          <t>К2*w2</t>
        </is>
      </c>
      <c r="I3" s="2" t="inlineStr">
        <is>
          <t>К3*w3</t>
        </is>
      </c>
      <c r="J3" s="2" t="inlineStr">
        <is>
          <t>К4*w4</t>
        </is>
      </c>
      <c r="K3" s="2" t="inlineStr">
        <is>
          <t>F(Ai)</t>
        </is>
      </c>
    </row>
    <row r="4">
      <c r="A4" s="4" t="inlineStr">
        <is>
          <t>А1</t>
        </is>
      </c>
      <c r="B4" s="3" t="n">
        <v>3</v>
      </c>
      <c r="C4" s="3" t="n">
        <v>7</v>
      </c>
      <c r="D4" s="3" t="n">
        <v>2</v>
      </c>
      <c r="E4" s="3" t="n">
        <v>9</v>
      </c>
      <c r="F4" s="3" t="n"/>
      <c r="G4" s="3">
        <f>B4*B$8</f>
        <v/>
      </c>
      <c r="H4" s="3">
        <f>C4*C$8</f>
        <v/>
      </c>
      <c r="I4" s="3">
        <f>D4*D$8</f>
        <v/>
      </c>
      <c r="J4" s="3">
        <f>E4*E$8</f>
        <v/>
      </c>
      <c r="K4" s="4">
        <f>SUM(G4:J4)</f>
        <v/>
      </c>
    </row>
    <row r="5">
      <c r="A5" s="4" t="inlineStr">
        <is>
          <t>А2</t>
        </is>
      </c>
      <c r="B5" s="3" t="n">
        <v>8</v>
      </c>
      <c r="C5" s="3" t="n">
        <v>3</v>
      </c>
      <c r="D5" s="3" t="n">
        <v>6</v>
      </c>
      <c r="E5" s="3" t="n">
        <v>7</v>
      </c>
      <c r="F5" s="3" t="n"/>
      <c r="G5" s="3">
        <f>B5*B$8</f>
        <v/>
      </c>
      <c r="H5" s="3">
        <f>C5*C$8</f>
        <v/>
      </c>
      <c r="I5" s="3">
        <f>D5*D$8</f>
        <v/>
      </c>
      <c r="J5" s="3">
        <f>E5*E$8</f>
        <v/>
      </c>
      <c r="K5" s="4">
        <f>SUM(G5:J5)</f>
        <v/>
      </c>
    </row>
    <row r="6">
      <c r="A6" s="4" t="inlineStr">
        <is>
          <t>А3</t>
        </is>
      </c>
      <c r="B6" s="3" t="n">
        <v>4</v>
      </c>
      <c r="C6" s="3" t="n">
        <v>8</v>
      </c>
      <c r="D6" s="3" t="n">
        <v>3</v>
      </c>
      <c r="E6" s="3" t="n">
        <v>5</v>
      </c>
      <c r="F6" s="3" t="n"/>
      <c r="G6" s="3">
        <f>B6*B$8</f>
        <v/>
      </c>
      <c r="H6" s="3">
        <f>C6*C$8</f>
        <v/>
      </c>
      <c r="I6" s="3">
        <f>D6*D$8</f>
        <v/>
      </c>
      <c r="J6" s="3">
        <f>E6*E$8</f>
        <v/>
      </c>
      <c r="K6" s="4">
        <f>SUM(G6:J6)</f>
        <v/>
      </c>
    </row>
    <row r="7">
      <c r="A7" s="4" t="inlineStr">
        <is>
          <t>А4</t>
        </is>
      </c>
      <c r="B7" s="3" t="n">
        <v>9</v>
      </c>
      <c r="C7" s="3" t="n">
        <v>6</v>
      </c>
      <c r="D7" s="3" t="n">
        <v>5</v>
      </c>
      <c r="E7" s="3" t="n">
        <v>4</v>
      </c>
      <c r="F7" s="3" t="n"/>
      <c r="G7" s="3">
        <f>B7*B$8</f>
        <v/>
      </c>
      <c r="H7" s="3">
        <f>C7*C$8</f>
        <v/>
      </c>
      <c r="I7" s="3">
        <f>D7*D$8</f>
        <v/>
      </c>
      <c r="J7" s="3">
        <f>E7*E$8</f>
        <v/>
      </c>
      <c r="K7" s="4">
        <f>SUM(G7:J7)</f>
        <v/>
      </c>
    </row>
    <row r="8">
      <c r="A8" s="4" t="inlineStr">
        <is>
          <t>Вес</t>
        </is>
      </c>
      <c r="B8" s="4" t="n">
        <v>8</v>
      </c>
      <c r="C8" s="4" t="n">
        <v>9</v>
      </c>
      <c r="D8" s="4" t="n">
        <v>6</v>
      </c>
      <c r="E8" s="4" t="n">
        <v>7</v>
      </c>
      <c r="F8" s="3" t="n"/>
      <c r="G8" s="3" t="n"/>
      <c r="H8" s="3" t="n"/>
      <c r="I8" s="3" t="n"/>
      <c r="J8" s="3" t="n"/>
      <c r="K8" s="3" t="n"/>
    </row>
    <row r="10">
      <c r="A10" s="5" t="inlineStr">
        <is>
          <t>Ответ:</t>
        </is>
      </c>
      <c r="B10" t="inlineStr">
        <is>
          <t>Лучший адвокат</t>
        </is>
      </c>
      <c r="C10" s="6">
        <f>INDEX(A4:A7,MATCH(MAX(K4:K7),K4:K7,0))</f>
        <v/>
      </c>
      <c r="D10" t="inlineStr">
        <is>
          <t>F =</t>
        </is>
      </c>
      <c r="E10" s="7">
        <f>MAX(K4:K7)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Задание 2. Найм юриста (нормализация)</t>
        </is>
      </c>
    </row>
    <row r="2">
      <c r="A2" s="8" t="inlineStr">
        <is>
          <t>К1-max, К2-min, К3-max, К4-max, К5-max</t>
        </is>
      </c>
    </row>
    <row r="3">
      <c r="H3" s="9" t="inlineStr">
        <is>
          <t>Нормализованные данные</t>
        </is>
      </c>
    </row>
    <row r="4">
      <c r="A4" s="2" t="inlineStr">
        <is>
          <t>Альтернатива</t>
        </is>
      </c>
      <c r="B4" s="2" t="inlineStr">
        <is>
          <t>К1 (Образ.)</t>
        </is>
      </c>
      <c r="C4" s="2" t="inlineStr">
        <is>
          <t>К2 (Зарпл.)</t>
        </is>
      </c>
      <c r="D4" s="2" t="inlineStr">
        <is>
          <t>К3 (Стаж)</t>
        </is>
      </c>
      <c r="E4" s="2" t="inlineStr">
        <is>
          <t>К4 (Дела)</t>
        </is>
      </c>
      <c r="F4" s="2" t="inlineStr">
        <is>
          <t>К5 (Авторит.)</t>
        </is>
      </c>
      <c r="H4" s="2" t="inlineStr">
        <is>
          <t>Альтернатива</t>
        </is>
      </c>
      <c r="I4" s="2" t="inlineStr">
        <is>
          <t>К1</t>
        </is>
      </c>
      <c r="J4" s="2" t="inlineStr">
        <is>
          <t>К2</t>
        </is>
      </c>
      <c r="K4" s="2" t="inlineStr">
        <is>
          <t>К3</t>
        </is>
      </c>
      <c r="L4" s="2" t="inlineStr">
        <is>
          <t>К4</t>
        </is>
      </c>
      <c r="M4" s="2" t="inlineStr">
        <is>
          <t>К5</t>
        </is>
      </c>
      <c r="N4" s="2" t="inlineStr">
        <is>
          <t>F(Ai)</t>
        </is>
      </c>
    </row>
    <row r="5">
      <c r="A5" s="4" t="inlineStr">
        <is>
          <t>А1</t>
        </is>
      </c>
      <c r="B5" s="3" t="n">
        <v>85</v>
      </c>
      <c r="C5" s="3" t="n">
        <v>30</v>
      </c>
      <c r="D5" s="3" t="n">
        <v>22</v>
      </c>
      <c r="E5" s="3" t="n">
        <v>0.65</v>
      </c>
      <c r="F5" s="3" t="n">
        <v>6</v>
      </c>
      <c r="H5" s="4">
        <f>A5</f>
        <v/>
      </c>
      <c r="I5" s="3">
        <f>(B5-MIN(B$5:B$9))/(MAX(B$5:B$9)-MIN(B$5:B$9))</f>
        <v/>
      </c>
      <c r="J5" s="3">
        <f>(MAX(C$5:C$9)-C5)/(MAX(C$5:C$9)-MIN(C$5:C$9))</f>
        <v/>
      </c>
      <c r="K5" s="3">
        <f>(D5-MIN(D$5:D$9))/(MAX(D$5:D$9)-MIN(D$5:D$9))</f>
        <v/>
      </c>
      <c r="L5" s="3">
        <f>(E5-MIN(E$5:E$9))/(MAX(E$5:E$9)-MIN(E$5:E$9))</f>
        <v/>
      </c>
      <c r="M5" s="3">
        <f>(F5-MIN(F$5:F$9))/(MAX(F$5:F$9)-MIN(F$5:F$9))</f>
        <v/>
      </c>
      <c r="N5" s="4">
        <f>I5*B$10+J5*C$10+K5*D$10+L5*E$10+M5*F$10</f>
        <v/>
      </c>
    </row>
    <row r="6">
      <c r="A6" s="4" t="inlineStr">
        <is>
          <t>А2</t>
        </is>
      </c>
      <c r="B6" s="3" t="n">
        <v>60</v>
      </c>
      <c r="C6" s="3" t="n">
        <v>20</v>
      </c>
      <c r="D6" s="3" t="n">
        <v>10</v>
      </c>
      <c r="E6" s="3" t="n">
        <v>0.6</v>
      </c>
      <c r="F6" s="3" t="n">
        <v>7</v>
      </c>
      <c r="H6" s="4">
        <f>A6</f>
        <v/>
      </c>
      <c r="I6" s="3">
        <f>(B6-MIN(B$5:B$9))/(MAX(B$5:B$9)-MIN(B$5:B$9))</f>
        <v/>
      </c>
      <c r="J6" s="3">
        <f>(MAX(C$5:C$9)-C6)/(MAX(C$5:C$9)-MIN(C$5:C$9))</f>
        <v/>
      </c>
      <c r="K6" s="3">
        <f>(D6-MIN(D$5:D$9))/(MAX(D$5:D$9)-MIN(D$5:D$9))</f>
        <v/>
      </c>
      <c r="L6" s="3">
        <f>(E6-MIN(E$5:E$9))/(MAX(E$5:E$9)-MIN(E$5:E$9))</f>
        <v/>
      </c>
      <c r="M6" s="3">
        <f>(F6-MIN(F$5:F$9))/(MAX(F$5:F$9)-MIN(F$5:F$9))</f>
        <v/>
      </c>
      <c r="N6" s="4">
        <f>I6*B$10+J6*C$10+K6*D$10+L6*E$10+M6*F$10</f>
        <v/>
      </c>
    </row>
    <row r="7">
      <c r="A7" s="4" t="inlineStr">
        <is>
          <t>А3</t>
        </is>
      </c>
      <c r="B7" s="3" t="n">
        <v>30</v>
      </c>
      <c r="C7" s="3" t="n">
        <v>12</v>
      </c>
      <c r="D7" s="3" t="n">
        <v>5</v>
      </c>
      <c r="E7" s="3" t="n">
        <v>0.45</v>
      </c>
      <c r="F7" s="3" t="n">
        <v>5</v>
      </c>
      <c r="H7" s="4">
        <f>A7</f>
        <v/>
      </c>
      <c r="I7" s="3">
        <f>(B7-MIN(B$5:B$9))/(MAX(B$5:B$9)-MIN(B$5:B$9))</f>
        <v/>
      </c>
      <c r="J7" s="3">
        <f>(MAX(C$5:C$9)-C7)/(MAX(C$5:C$9)-MIN(C$5:C$9))</f>
        <v/>
      </c>
      <c r="K7" s="3">
        <f>(D7-MIN(D$5:D$9))/(MAX(D$5:D$9)-MIN(D$5:D$9))</f>
        <v/>
      </c>
      <c r="L7" s="3">
        <f>(E7-MIN(E$5:E$9))/(MAX(E$5:E$9)-MIN(E$5:E$9))</f>
        <v/>
      </c>
      <c r="M7" s="3">
        <f>(F7-MIN(F$5:F$9))/(MAX(F$5:F$9)-MIN(F$5:F$9))</f>
        <v/>
      </c>
      <c r="N7" s="4">
        <f>I7*B$10+J7*C$10+K7*D$10+L7*E$10+M7*F$10</f>
        <v/>
      </c>
    </row>
    <row r="8">
      <c r="A8" s="4" t="inlineStr">
        <is>
          <t>А4</t>
        </is>
      </c>
      <c r="B8" s="3" t="n">
        <v>75</v>
      </c>
      <c r="C8" s="3" t="n">
        <v>24</v>
      </c>
      <c r="D8" s="3" t="n">
        <v>13</v>
      </c>
      <c r="E8" s="3" t="n">
        <v>0.7</v>
      </c>
      <c r="F8" s="3" t="n">
        <v>8</v>
      </c>
      <c r="H8" s="4">
        <f>A8</f>
        <v/>
      </c>
      <c r="I8" s="3">
        <f>(B8-MIN(B$5:B$9))/(MAX(B$5:B$9)-MIN(B$5:B$9))</f>
        <v/>
      </c>
      <c r="J8" s="3">
        <f>(MAX(C$5:C$9)-C8)/(MAX(C$5:C$9)-MIN(C$5:C$9))</f>
        <v/>
      </c>
      <c r="K8" s="3">
        <f>(D8-MIN(D$5:D$9))/(MAX(D$5:D$9)-MIN(D$5:D$9))</f>
        <v/>
      </c>
      <c r="L8" s="3">
        <f>(E8-MIN(E$5:E$9))/(MAX(E$5:E$9)-MIN(E$5:E$9))</f>
        <v/>
      </c>
      <c r="M8" s="3">
        <f>(F8-MIN(F$5:F$9))/(MAX(F$5:F$9)-MIN(F$5:F$9))</f>
        <v/>
      </c>
      <c r="N8" s="4">
        <f>I8*B$10+J8*C$10+K8*D$10+L8*E$10+M8*F$10</f>
        <v/>
      </c>
    </row>
    <row r="9">
      <c r="A9" s="4" t="inlineStr">
        <is>
          <t>А5</t>
        </is>
      </c>
      <c r="B9" s="3" t="n">
        <v>40</v>
      </c>
      <c r="C9" s="3" t="n">
        <v>15</v>
      </c>
      <c r="D9" s="3" t="n">
        <v>7</v>
      </c>
      <c r="E9" s="3" t="n">
        <v>0.55</v>
      </c>
      <c r="F9" s="3" t="n">
        <v>7</v>
      </c>
      <c r="H9" s="4">
        <f>A9</f>
        <v/>
      </c>
      <c r="I9" s="3">
        <f>(B9-MIN(B$5:B$9))/(MAX(B$5:B$9)-MIN(B$5:B$9))</f>
        <v/>
      </c>
      <c r="J9" s="3">
        <f>(MAX(C$5:C$9)-C9)/(MAX(C$5:C$9)-MIN(C$5:C$9))</f>
        <v/>
      </c>
      <c r="K9" s="3">
        <f>(D9-MIN(D$5:D$9))/(MAX(D$5:D$9)-MIN(D$5:D$9))</f>
        <v/>
      </c>
      <c r="L9" s="3">
        <f>(E9-MIN(E$5:E$9))/(MAX(E$5:E$9)-MIN(E$5:E$9))</f>
        <v/>
      </c>
      <c r="M9" s="3">
        <f>(F9-MIN(F$5:F$9))/(MAX(F$5:F$9)-MIN(F$5:F$9))</f>
        <v/>
      </c>
      <c r="N9" s="4">
        <f>I9*B$10+J9*C$10+K9*D$10+L9*E$10+M9*F$10</f>
        <v/>
      </c>
    </row>
    <row r="10">
      <c r="A10" s="4" t="inlineStr">
        <is>
          <t>Вес</t>
        </is>
      </c>
      <c r="B10" s="4" t="n">
        <v>7</v>
      </c>
      <c r="C10" s="4" t="n">
        <v>5</v>
      </c>
      <c r="D10" s="4" t="n">
        <v>6</v>
      </c>
      <c r="E10" s="4" t="n">
        <v>8</v>
      </c>
      <c r="F10" s="4" t="n">
        <v>6</v>
      </c>
    </row>
    <row r="11">
      <c r="A11" s="10" t="inlineStr">
        <is>
          <t>Направление</t>
        </is>
      </c>
      <c r="B11" s="11" t="inlineStr">
        <is>
          <t>max</t>
        </is>
      </c>
      <c r="C11" s="11" t="inlineStr">
        <is>
          <t>min</t>
        </is>
      </c>
      <c r="D11" s="11" t="inlineStr">
        <is>
          <t>max</t>
        </is>
      </c>
      <c r="E11" s="11" t="inlineStr">
        <is>
          <t>max</t>
        </is>
      </c>
      <c r="F11" s="11" t="inlineStr">
        <is>
          <t>max</t>
        </is>
      </c>
      <c r="H11" s="5" t="inlineStr">
        <is>
          <t>Ответ:</t>
        </is>
      </c>
      <c r="I11" t="inlineStr">
        <is>
          <t>Лучший кандидат</t>
        </is>
      </c>
      <c r="J11" s="6">
        <f>INDEX(H5:H9,MATCH(MAX(N5:N9),N5:N9,0))</f>
        <v/>
      </c>
      <c r="K11" t="inlineStr">
        <is>
          <t>F =</t>
        </is>
      </c>
      <c r="L11" s="7">
        <f>MAX(N5:N9)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Задание 3. Проект сети (нормализация + латентные переменные)</t>
        </is>
      </c>
    </row>
    <row r="2">
      <c r="A2" s="8" t="inlineStr">
        <is>
          <t>К1-max, К2-min, К3-max, К4-max, К5-max</t>
        </is>
      </c>
    </row>
    <row r="3">
      <c r="H3" s="9" t="inlineStr">
        <is>
          <t>Нормализованные данные</t>
        </is>
      </c>
    </row>
    <row r="4">
      <c r="A4" s="2" t="inlineStr">
        <is>
          <t>Проект</t>
        </is>
      </c>
      <c r="B4" s="2" t="inlineStr">
        <is>
          <t>К1 (Мб/с)</t>
        </is>
      </c>
      <c r="C4" s="2" t="inlineStr">
        <is>
          <t>К2 (тыс.р.)</t>
        </is>
      </c>
      <c r="D4" s="2" t="inlineStr">
        <is>
          <t>К3 (лет)</t>
        </is>
      </c>
      <c r="E4" s="2" t="inlineStr">
        <is>
          <t>К4 (вероятн.)</t>
        </is>
      </c>
      <c r="F4" s="2" t="inlineStr">
        <is>
          <t>К5 (балл)</t>
        </is>
      </c>
      <c r="H4" s="2" t="inlineStr">
        <is>
          <t>Проект</t>
        </is>
      </c>
      <c r="I4" s="2" t="inlineStr">
        <is>
          <t>К1</t>
        </is>
      </c>
      <c r="J4" s="2" t="inlineStr">
        <is>
          <t>К2</t>
        </is>
      </c>
      <c r="K4" s="2" t="inlineStr">
        <is>
          <t>К3</t>
        </is>
      </c>
      <c r="L4" s="2" t="inlineStr">
        <is>
          <t>К4</t>
        </is>
      </c>
      <c r="M4" s="2" t="inlineStr">
        <is>
          <t>К5</t>
        </is>
      </c>
    </row>
    <row r="5">
      <c r="A5" s="4" t="inlineStr">
        <is>
          <t>А1</t>
        </is>
      </c>
      <c r="B5" s="3" t="n">
        <v>67</v>
      </c>
      <c r="C5" s="3" t="n">
        <v>29</v>
      </c>
      <c r="D5" s="3" t="n">
        <v>11</v>
      </c>
      <c r="E5" s="3" t="n">
        <v>0.85</v>
      </c>
      <c r="F5" s="3" t="n">
        <v>9</v>
      </c>
      <c r="H5" s="4">
        <f>A5</f>
        <v/>
      </c>
      <c r="I5" s="3">
        <f>(B5-MIN(B$5:B$9))/(MAX(B$5:B$9)-MIN(B$5:B$9))</f>
        <v/>
      </c>
      <c r="J5" s="3">
        <f>(MAX(C$5:C$9)-C5)/(MAX(C$5:C$9)-MIN(C$5:C$9))</f>
        <v/>
      </c>
      <c r="K5" s="3">
        <f>(D5-MIN(D$5:D$9))/(MAX(D$5:D$9)-MIN(D$5:D$9))</f>
        <v/>
      </c>
      <c r="L5" s="3">
        <f>(E5-MIN(E$5:E$9))/(MAX(E$5:E$9)-MIN(E$5:E$9))</f>
        <v/>
      </c>
      <c r="M5" s="3">
        <f>(F5-MIN(F$5:F$9))/(MAX(F$5:F$9)-MIN(F$5:F$9))</f>
        <v/>
      </c>
    </row>
    <row r="6">
      <c r="A6" s="4" t="inlineStr">
        <is>
          <t>А2</t>
        </is>
      </c>
      <c r="B6" s="3" t="n">
        <v>33</v>
      </c>
      <c r="C6" s="3" t="n">
        <v>26</v>
      </c>
      <c r="D6" s="3" t="n">
        <v>14</v>
      </c>
      <c r="E6" s="3" t="n">
        <v>0.73</v>
      </c>
      <c r="F6" s="3" t="n">
        <v>6</v>
      </c>
      <c r="H6" s="4">
        <f>A6</f>
        <v/>
      </c>
      <c r="I6" s="3">
        <f>(B6-MIN(B$5:B$9))/(MAX(B$5:B$9)-MIN(B$5:B$9))</f>
        <v/>
      </c>
      <c r="J6" s="3">
        <f>(MAX(C$5:C$9)-C6)/(MAX(C$5:C$9)-MIN(C$5:C$9))</f>
        <v/>
      </c>
      <c r="K6" s="3">
        <f>(D6-MIN(D$5:D$9))/(MAX(D$5:D$9)-MIN(D$5:D$9))</f>
        <v/>
      </c>
      <c r="L6" s="3">
        <f>(E6-MIN(E$5:E$9))/(MAX(E$5:E$9)-MIN(E$5:E$9))</f>
        <v/>
      </c>
      <c r="M6" s="3">
        <f>(F6-MIN(F$5:F$9))/(MAX(F$5:F$9)-MIN(F$5:F$9))</f>
        <v/>
      </c>
    </row>
    <row r="7">
      <c r="A7" s="4" t="inlineStr">
        <is>
          <t>А3</t>
        </is>
      </c>
      <c r="B7" s="3" t="n">
        <v>88</v>
      </c>
      <c r="C7" s="3" t="n">
        <v>11</v>
      </c>
      <c r="D7" s="3" t="n">
        <v>17</v>
      </c>
      <c r="E7" s="3" t="n">
        <v>0.8100000000000001</v>
      </c>
      <c r="F7" s="3" t="n">
        <v>6</v>
      </c>
      <c r="H7" s="4">
        <f>A7</f>
        <v/>
      </c>
      <c r="I7" s="3">
        <f>(B7-MIN(B$5:B$9))/(MAX(B$5:B$9)-MIN(B$5:B$9))</f>
        <v/>
      </c>
      <c r="J7" s="3">
        <f>(MAX(C$5:C$9)-C7)/(MAX(C$5:C$9)-MIN(C$5:C$9))</f>
        <v/>
      </c>
      <c r="K7" s="3">
        <f>(D7-MIN(D$5:D$9))/(MAX(D$5:D$9)-MIN(D$5:D$9))</f>
        <v/>
      </c>
      <c r="L7" s="3">
        <f>(E7-MIN(E$5:E$9))/(MAX(E$5:E$9)-MIN(E$5:E$9))</f>
        <v/>
      </c>
      <c r="M7" s="3">
        <f>(F7-MIN(F$5:F$9))/(MAX(F$5:F$9)-MIN(F$5:F$9))</f>
        <v/>
      </c>
    </row>
    <row r="8">
      <c r="A8" s="4" t="inlineStr">
        <is>
          <t>А4</t>
        </is>
      </c>
      <c r="B8" s="3" t="n">
        <v>73</v>
      </c>
      <c r="C8" s="3" t="n">
        <v>32</v>
      </c>
      <c r="D8" s="3" t="n">
        <v>15</v>
      </c>
      <c r="E8" s="3" t="n">
        <v>0.93</v>
      </c>
      <c r="F8" s="3" t="n">
        <v>8</v>
      </c>
      <c r="H8" s="4">
        <f>A8</f>
        <v/>
      </c>
      <c r="I8" s="3">
        <f>(B8-MIN(B$5:B$9))/(MAX(B$5:B$9)-MIN(B$5:B$9))</f>
        <v/>
      </c>
      <c r="J8" s="3">
        <f>(MAX(C$5:C$9)-C8)/(MAX(C$5:C$9)-MIN(C$5:C$9))</f>
        <v/>
      </c>
      <c r="K8" s="3">
        <f>(D8-MIN(D$5:D$9))/(MAX(D$5:D$9)-MIN(D$5:D$9))</f>
        <v/>
      </c>
      <c r="L8" s="3">
        <f>(E8-MIN(E$5:E$9))/(MAX(E$5:E$9)-MIN(E$5:E$9))</f>
        <v/>
      </c>
      <c r="M8" s="3">
        <f>(F8-MIN(F$5:F$9))/(MAX(F$5:F$9)-MIN(F$5:F$9))</f>
        <v/>
      </c>
    </row>
    <row r="9">
      <c r="A9" s="4" t="inlineStr">
        <is>
          <t>А5</t>
        </is>
      </c>
      <c r="B9" s="3" t="n">
        <v>73</v>
      </c>
      <c r="C9" s="3" t="n">
        <v>24</v>
      </c>
      <c r="D9" s="3" t="n">
        <v>8</v>
      </c>
      <c r="E9" s="3" t="n">
        <v>0.78</v>
      </c>
      <c r="F9" s="3" t="n">
        <v>8</v>
      </c>
      <c r="H9" s="4">
        <f>A9</f>
        <v/>
      </c>
      <c r="I9" s="3">
        <f>(B9-MIN(B$5:B$9))/(MAX(B$5:B$9)-MIN(B$5:B$9))</f>
        <v/>
      </c>
      <c r="J9" s="3">
        <f>(MAX(C$5:C$9)-C9)/(MAX(C$5:C$9)-MIN(C$5:C$9))</f>
        <v/>
      </c>
      <c r="K9" s="3">
        <f>(D9-MIN(D$5:D$9))/(MAX(D$5:D$9)-MIN(D$5:D$9))</f>
        <v/>
      </c>
      <c r="L9" s="3">
        <f>(E9-MIN(E$5:E$9))/(MAX(E$5:E$9)-MIN(E$5:E$9))</f>
        <v/>
      </c>
      <c r="M9" s="3">
        <f>(F9-MIN(F$5:F$9))/(MAX(F$5:F$9)-MIN(F$5:F$9))</f>
        <v/>
      </c>
    </row>
    <row r="10">
      <c r="A10" s="4" t="inlineStr">
        <is>
          <t>Вес</t>
        </is>
      </c>
      <c r="B10" s="4" t="n">
        <v>9</v>
      </c>
      <c r="C10" s="4" t="n">
        <v>8</v>
      </c>
      <c r="D10" s="4" t="n">
        <v>6</v>
      </c>
      <c r="E10" s="4" t="n">
        <v>7</v>
      </c>
      <c r="F10" s="4" t="n">
        <v>7</v>
      </c>
    </row>
    <row r="13">
      <c r="A13" s="9" t="inlineStr">
        <is>
          <t>Оценки θi</t>
        </is>
      </c>
      <c r="H13" s="9" t="inlineStr">
        <is>
          <t>Модельная матрица P = exp(θi-βj)/(1+exp(θi-βj))</t>
        </is>
      </c>
    </row>
    <row r="14">
      <c r="A14" s="5" t="inlineStr">
        <is>
          <t>θ(А1)</t>
        </is>
      </c>
      <c r="B14" s="6" t="n">
        <v>1.1948</v>
      </c>
      <c r="H14" s="2" t="inlineStr"/>
      <c r="I14" s="2" t="inlineStr">
        <is>
          <t>К1</t>
        </is>
      </c>
      <c r="J14" s="2" t="inlineStr">
        <is>
          <t>К2</t>
        </is>
      </c>
      <c r="K14" s="2" t="inlineStr">
        <is>
          <t>К3</t>
        </is>
      </c>
      <c r="L14" s="2" t="inlineStr">
        <is>
          <t>К4</t>
        </is>
      </c>
      <c r="M14" s="2" t="inlineStr">
        <is>
          <t>К5</t>
        </is>
      </c>
    </row>
    <row r="15">
      <c r="A15" s="5" t="inlineStr">
        <is>
          <t>θ(А2)</t>
        </is>
      </c>
      <c r="B15" s="6" t="n">
        <v>-1.2282</v>
      </c>
      <c r="H15" s="12" t="inlineStr">
        <is>
          <t>А1</t>
        </is>
      </c>
      <c r="I15" s="3">
        <f>EXP($B$14-A$22)/(1+EXP($B$14-A$22))</f>
        <v/>
      </c>
      <c r="J15" s="3">
        <f>EXP($B$14-B$22)/(1+EXP($B$14-B$22))</f>
        <v/>
      </c>
      <c r="K15" s="3">
        <f>EXP($B$14-C$22)/(1+EXP($B$14-C$22))</f>
        <v/>
      </c>
      <c r="L15" s="3">
        <f>EXP($B$14-D$22)/(1+EXP($B$14-D$22))</f>
        <v/>
      </c>
      <c r="M15" s="3">
        <f>EXP($B$14-E$22)/(1+EXP($B$14-E$22))</f>
        <v/>
      </c>
    </row>
    <row r="16">
      <c r="A16" s="5" t="inlineStr">
        <is>
          <t>θ(А3)</t>
        </is>
      </c>
      <c r="B16" s="6" t="n">
        <v>2.0437</v>
      </c>
      <c r="H16" s="12" t="inlineStr">
        <is>
          <t>А2</t>
        </is>
      </c>
      <c r="I16" s="3">
        <f>EXP($B$15-A$22)/(1+EXP($B$15-A$22))</f>
        <v/>
      </c>
      <c r="J16" s="3">
        <f>EXP($B$15-B$22)/(1+EXP($B$15-B$22))</f>
        <v/>
      </c>
      <c r="K16" s="3">
        <f>EXP($B$15-C$22)/(1+EXP($B$15-C$22))</f>
        <v/>
      </c>
      <c r="L16" s="3">
        <f>EXP($B$15-D$22)/(1+EXP($B$15-D$22))</f>
        <v/>
      </c>
      <c r="M16" s="3">
        <f>EXP($B$15-E$22)/(1+EXP($B$15-E$22))</f>
        <v/>
      </c>
    </row>
    <row r="17">
      <c r="A17" s="5" t="inlineStr">
        <is>
          <t>θ(А4)</t>
        </is>
      </c>
      <c r="B17" s="6" t="n">
        <v>1.5265</v>
      </c>
      <c r="H17" s="12" t="inlineStr">
        <is>
          <t>А3</t>
        </is>
      </c>
      <c r="I17" s="3">
        <f>EXP($B$16-A$22)/(1+EXP($B$16-A$22))</f>
        <v/>
      </c>
      <c r="J17" s="3">
        <f>EXP($B$16-B$22)/(1+EXP($B$16-B$22))</f>
        <v/>
      </c>
      <c r="K17" s="3">
        <f>EXP($B$16-C$22)/(1+EXP($B$16-C$22))</f>
        <v/>
      </c>
      <c r="L17" s="3">
        <f>EXP($B$16-D$22)/(1+EXP($B$16-D$22))</f>
        <v/>
      </c>
      <c r="M17" s="3">
        <f>EXP($B$16-E$22)/(1+EXP($B$16-E$22))</f>
        <v/>
      </c>
    </row>
    <row r="18">
      <c r="A18" s="5" t="inlineStr">
        <is>
          <t>θ(А5)</t>
        </is>
      </c>
      <c r="B18" s="6" t="n">
        <v>0.6945</v>
      </c>
      <c r="H18" s="12" t="inlineStr">
        <is>
          <t>А4</t>
        </is>
      </c>
      <c r="I18" s="3">
        <f>EXP($B$17-A$22)/(1+EXP($B$17-A$22))</f>
        <v/>
      </c>
      <c r="J18" s="3">
        <f>EXP($B$17-B$22)/(1+EXP($B$17-B$22))</f>
        <v/>
      </c>
      <c r="K18" s="3">
        <f>EXP($B$17-C$22)/(1+EXP($B$17-C$22))</f>
        <v/>
      </c>
      <c r="L18" s="3">
        <f>EXP($B$17-D$22)/(1+EXP($B$17-D$22))</f>
        <v/>
      </c>
      <c r="M18" s="3">
        <f>EXP($B$17-E$22)/(1+EXP($B$17-E$22))</f>
        <v/>
      </c>
    </row>
    <row r="19">
      <c r="H19" s="12" t="inlineStr">
        <is>
          <t>А5</t>
        </is>
      </c>
      <c r="I19" s="3">
        <f>EXP($B$18-A$22)/(1+EXP($B$18-A$22))</f>
        <v/>
      </c>
      <c r="J19" s="3">
        <f>EXP($B$18-B$22)/(1+EXP($B$18-B$22))</f>
        <v/>
      </c>
      <c r="K19" s="3">
        <f>EXP($B$18-C$22)/(1+EXP($B$18-C$22))</f>
        <v/>
      </c>
      <c r="L19" s="3">
        <f>EXP($B$18-D$22)/(1+EXP($B$18-D$22))</f>
        <v/>
      </c>
      <c r="M19" s="3">
        <f>EXP($B$18-E$22)/(1+EXP($B$18-E$22))</f>
        <v/>
      </c>
    </row>
    <row r="20">
      <c r="A20" s="9" t="inlineStr">
        <is>
          <t>Оценки βj</t>
        </is>
      </c>
    </row>
    <row r="21">
      <c r="A21" s="5" t="inlineStr">
        <is>
          <t>β(К1)</t>
        </is>
      </c>
      <c r="B21" s="5" t="inlineStr">
        <is>
          <t>β(К2)</t>
        </is>
      </c>
      <c r="C21" s="5" t="inlineStr">
        <is>
          <t>β(К3)</t>
        </is>
      </c>
      <c r="D21" s="5" t="inlineStr">
        <is>
          <t>β(К4)</t>
        </is>
      </c>
      <c r="E21" s="5" t="inlineStr">
        <is>
          <t>β(К5)</t>
        </is>
      </c>
    </row>
    <row r="22">
      <c r="A22" s="6" t="n">
        <v>0.3152</v>
      </c>
      <c r="B22" s="6" t="n">
        <v>1.8464</v>
      </c>
      <c r="C22" s="6" t="n">
        <v>1.0955</v>
      </c>
      <c r="D22" s="6" t="n">
        <v>1.075</v>
      </c>
      <c r="E22" s="6" t="n">
        <v>0.8216</v>
      </c>
    </row>
    <row r="24">
      <c r="A24" s="9" t="inlineStr">
        <is>
          <t>Взвешенные квадраты отклонений wj*(uij - Pij)^2</t>
        </is>
      </c>
    </row>
    <row r="25">
      <c r="A25" s="2" t="inlineStr"/>
      <c r="B25" s="2" t="inlineStr">
        <is>
          <t>К1</t>
        </is>
      </c>
      <c r="C25" s="2" t="inlineStr">
        <is>
          <t>К2</t>
        </is>
      </c>
      <c r="D25" s="2" t="inlineStr">
        <is>
          <t>К3</t>
        </is>
      </c>
      <c r="E25" s="2" t="inlineStr">
        <is>
          <t>К4</t>
        </is>
      </c>
      <c r="F25" s="2" t="inlineStr">
        <is>
          <t>К5</t>
        </is>
      </c>
    </row>
    <row r="26">
      <c r="A26" s="12" t="inlineStr">
        <is>
          <t>А1</t>
        </is>
      </c>
      <c r="B26" s="3">
        <f>B$10*(I5-I15)^2</f>
        <v/>
      </c>
      <c r="C26" s="3">
        <f>C$10*(J5-J15)^2</f>
        <v/>
      </c>
      <c r="D26" s="3">
        <f>D$10*(K5-K15)^2</f>
        <v/>
      </c>
      <c r="E26" s="3">
        <f>E$10*(L5-L15)^2</f>
        <v/>
      </c>
      <c r="F26" s="3">
        <f>F$10*(M5-M15)^2</f>
        <v/>
      </c>
    </row>
    <row r="27">
      <c r="A27" s="12" t="inlineStr">
        <is>
          <t>А2</t>
        </is>
      </c>
      <c r="B27" s="3">
        <f>B$10*(I6-I16)^2</f>
        <v/>
      </c>
      <c r="C27" s="3">
        <f>C$10*(J6-J16)^2</f>
        <v/>
      </c>
      <c r="D27" s="3">
        <f>D$10*(K6-K16)^2</f>
        <v/>
      </c>
      <c r="E27" s="3">
        <f>E$10*(L6-L16)^2</f>
        <v/>
      </c>
      <c r="F27" s="3">
        <f>F$10*(M6-M16)^2</f>
        <v/>
      </c>
    </row>
    <row r="28">
      <c r="A28" s="12" t="inlineStr">
        <is>
          <t>А3</t>
        </is>
      </c>
      <c r="B28" s="3">
        <f>B$10*(I7-I17)^2</f>
        <v/>
      </c>
      <c r="C28" s="3">
        <f>C$10*(J7-J17)^2</f>
        <v/>
      </c>
      <c r="D28" s="3">
        <f>D$10*(K7-K17)^2</f>
        <v/>
      </c>
      <c r="E28" s="3">
        <f>E$10*(L7-L17)^2</f>
        <v/>
      </c>
      <c r="F28" s="3">
        <f>F$10*(M7-M17)^2</f>
        <v/>
      </c>
    </row>
    <row r="29">
      <c r="A29" s="12" t="inlineStr">
        <is>
          <t>А4</t>
        </is>
      </c>
      <c r="B29" s="3">
        <f>B$10*(I8-I18)^2</f>
        <v/>
      </c>
      <c r="C29" s="3">
        <f>C$10*(J8-J18)^2</f>
        <v/>
      </c>
      <c r="D29" s="3">
        <f>D$10*(K8-K18)^2</f>
        <v/>
      </c>
      <c r="E29" s="3">
        <f>E$10*(L8-L18)^2</f>
        <v/>
      </c>
      <c r="F29" s="3">
        <f>F$10*(M8-M18)^2</f>
        <v/>
      </c>
    </row>
    <row r="30">
      <c r="A30" s="12" t="inlineStr">
        <is>
          <t>А5</t>
        </is>
      </c>
      <c r="B30" s="3">
        <f>B$10*(I9-I19)^2</f>
        <v/>
      </c>
      <c r="C30" s="3">
        <f>C$10*(J9-J19)^2</f>
        <v/>
      </c>
      <c r="D30" s="3">
        <f>D$10*(K9-K19)^2</f>
        <v/>
      </c>
      <c r="E30" s="3">
        <f>E$10*(L9-L19)^2</f>
        <v/>
      </c>
      <c r="F30" s="3">
        <f>F$10*(M9-M19)^2</f>
        <v/>
      </c>
    </row>
    <row r="32">
      <c r="A32" s="5" t="inlineStr">
        <is>
          <t>Целевая функция (минимизировать):</t>
        </is>
      </c>
      <c r="D32" s="13">
        <f>SUM(B26:F30)</f>
        <v/>
      </c>
    </row>
    <row r="34">
      <c r="A34" s="14" t="inlineStr">
        <is>
          <t>ОТВЕТ: Лучший проект — А3 (θ = 2,0437)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Задание МАИ. Покупка автомобиля (метод аналитической иерархии)</t>
        </is>
      </c>
    </row>
    <row r="3">
      <c r="A3" s="9" t="inlineStr">
        <is>
          <t>К1 (Цена)</t>
        </is>
      </c>
    </row>
    <row r="4">
      <c r="A4" s="2" t="inlineStr">
        <is>
          <t>К1</t>
        </is>
      </c>
      <c r="B4" s="2" t="inlineStr">
        <is>
          <t>A</t>
        </is>
      </c>
      <c r="C4" s="2" t="inlineStr">
        <is>
          <t>B</t>
        </is>
      </c>
      <c r="D4" s="2" t="inlineStr">
        <is>
          <t>C</t>
        </is>
      </c>
      <c r="E4" s="2" t="inlineStr">
        <is>
          <t>D</t>
        </is>
      </c>
      <c r="F4" s="2" t="inlineStr"/>
      <c r="G4" s="2" t="inlineStr">
        <is>
          <t>ВЕКТОР</t>
        </is>
      </c>
      <c r="H4" s="2" t="inlineStr">
        <is>
          <t>ВЕС</t>
        </is>
      </c>
    </row>
    <row r="5">
      <c r="A5" s="12" t="inlineStr">
        <is>
          <t>A</t>
        </is>
      </c>
      <c r="B5" s="3" t="n">
        <v>1</v>
      </c>
      <c r="C5" s="3" t="n">
        <v>0.2</v>
      </c>
      <c r="D5" s="3" t="n">
        <v>3</v>
      </c>
      <c r="E5" s="3" t="n">
        <v>0.5</v>
      </c>
      <c r="G5" s="3">
        <f>POWER(PRODUCT(B5:E5),0.25)</f>
        <v/>
      </c>
      <c r="H5" s="3">
        <f>G5/G$9</f>
        <v/>
      </c>
    </row>
    <row r="6">
      <c r="A6" s="12" t="inlineStr">
        <is>
          <t>B</t>
        </is>
      </c>
      <c r="B6" s="3" t="n">
        <v>5</v>
      </c>
      <c r="C6" s="3" t="n">
        <v>1</v>
      </c>
      <c r="D6" s="3" t="n">
        <v>0.3333</v>
      </c>
      <c r="E6" s="3" t="n">
        <v>0.1429</v>
      </c>
      <c r="G6" s="3">
        <f>POWER(PRODUCT(B6:E6),0.25)</f>
        <v/>
      </c>
      <c r="H6" s="3">
        <f>G6/G$9</f>
        <v/>
      </c>
    </row>
    <row r="7">
      <c r="A7" s="12" t="inlineStr">
        <is>
          <t>C</t>
        </is>
      </c>
      <c r="B7" s="3" t="n">
        <v>0.3333</v>
      </c>
      <c r="C7" s="3" t="n">
        <v>3</v>
      </c>
      <c r="D7" s="3" t="n">
        <v>1</v>
      </c>
      <c r="E7" s="3" t="n">
        <v>3</v>
      </c>
      <c r="G7" s="3">
        <f>POWER(PRODUCT(B7:E7),0.25)</f>
        <v/>
      </c>
      <c r="H7" s="3">
        <f>G7/G$9</f>
        <v/>
      </c>
    </row>
    <row r="8">
      <c r="A8" s="12" t="inlineStr">
        <is>
          <t>D</t>
        </is>
      </c>
      <c r="B8" s="3" t="n">
        <v>2</v>
      </c>
      <c r="C8" s="3" t="n">
        <v>7</v>
      </c>
      <c r="D8" s="3" t="n">
        <v>0.3333</v>
      </c>
      <c r="E8" s="3" t="n">
        <v>1</v>
      </c>
      <c r="G8" s="3">
        <f>POWER(PRODUCT(B8:E8),0.25)</f>
        <v/>
      </c>
      <c r="H8" s="3">
        <f>G8/G$9</f>
        <v/>
      </c>
    </row>
    <row r="9">
      <c r="G9" s="12">
        <f>SUM(G5:G8)</f>
        <v/>
      </c>
    </row>
    <row r="11">
      <c r="A11" s="9" t="inlineStr">
        <is>
          <t>К2 (Комфортность)</t>
        </is>
      </c>
    </row>
    <row r="12">
      <c r="A12" s="2" t="inlineStr">
        <is>
          <t>К2</t>
        </is>
      </c>
      <c r="B12" s="2" t="inlineStr">
        <is>
          <t>A</t>
        </is>
      </c>
      <c r="C12" s="2" t="inlineStr">
        <is>
          <t>B</t>
        </is>
      </c>
      <c r="D12" s="2" t="inlineStr">
        <is>
          <t>C</t>
        </is>
      </c>
      <c r="E12" s="2" t="inlineStr">
        <is>
          <t>D</t>
        </is>
      </c>
      <c r="F12" s="2" t="inlineStr"/>
      <c r="G12" s="2" t="inlineStr">
        <is>
          <t>ВЕКТОР</t>
        </is>
      </c>
      <c r="H12" s="2" t="inlineStr">
        <is>
          <t>ВЕС</t>
        </is>
      </c>
    </row>
    <row r="13">
      <c r="A13" s="12" t="inlineStr">
        <is>
          <t>A</t>
        </is>
      </c>
      <c r="B13" s="3" t="n">
        <v>1</v>
      </c>
      <c r="C13" s="3" t="n">
        <v>4</v>
      </c>
      <c r="D13" s="3" t="n">
        <v>3</v>
      </c>
      <c r="E13" s="3" t="n">
        <v>0.2</v>
      </c>
      <c r="G13" s="15">
        <f>POWER(PRODUCT(B13:E13),0.25)</f>
        <v/>
      </c>
      <c r="H13" s="3">
        <f>G13/G$17</f>
        <v/>
      </c>
    </row>
    <row r="14">
      <c r="A14" s="12" t="inlineStr">
        <is>
          <t>B</t>
        </is>
      </c>
      <c r="B14" s="3" t="n">
        <v>0.25</v>
      </c>
      <c r="C14" s="3" t="n">
        <v>1</v>
      </c>
      <c r="D14" s="3" t="n">
        <v>2</v>
      </c>
      <c r="E14" s="3" t="n">
        <v>5</v>
      </c>
      <c r="G14" s="15">
        <f>POWER(PRODUCT(B14:E14),0.25)</f>
        <v/>
      </c>
      <c r="H14" s="3">
        <f>G14/G$17</f>
        <v/>
      </c>
    </row>
    <row r="15">
      <c r="A15" s="12" t="inlineStr">
        <is>
          <t>C</t>
        </is>
      </c>
      <c r="B15" s="3" t="n">
        <v>0.3333</v>
      </c>
      <c r="C15" s="3" t="n">
        <v>0.5</v>
      </c>
      <c r="D15" s="3" t="n">
        <v>1</v>
      </c>
      <c r="E15" s="3" t="n">
        <v>3</v>
      </c>
      <c r="G15" s="15">
        <f>POWER(PRODUCT(B15:E15),0.25)</f>
        <v/>
      </c>
      <c r="H15" s="3">
        <f>G15/G$17</f>
        <v/>
      </c>
    </row>
    <row r="16">
      <c r="A16" s="12" t="inlineStr">
        <is>
          <t>D</t>
        </is>
      </c>
      <c r="B16" s="3" t="n">
        <v>5</v>
      </c>
      <c r="C16" s="3" t="n">
        <v>0.2</v>
      </c>
      <c r="D16" s="3" t="n">
        <v>0.3333</v>
      </c>
      <c r="E16" s="3" t="n">
        <v>1</v>
      </c>
      <c r="G16" s="15">
        <f>POWER(PRODUCT(B16:E16),0.25)</f>
        <v/>
      </c>
      <c r="H16" s="3">
        <f>G16/G$17</f>
        <v/>
      </c>
    </row>
    <row r="17">
      <c r="G17" s="12">
        <f>SUM(G13:G16)</f>
        <v/>
      </c>
    </row>
    <row r="19">
      <c r="A19" s="9" t="inlineStr">
        <is>
          <t>К3 (Экономичность)</t>
        </is>
      </c>
    </row>
    <row r="20">
      <c r="A20" s="2" t="inlineStr">
        <is>
          <t>К3</t>
        </is>
      </c>
      <c r="B20" s="2" t="inlineStr">
        <is>
          <t>A</t>
        </is>
      </c>
      <c r="C20" s="2" t="inlineStr">
        <is>
          <t>B</t>
        </is>
      </c>
      <c r="D20" s="2" t="inlineStr">
        <is>
          <t>C</t>
        </is>
      </c>
      <c r="E20" s="2" t="inlineStr">
        <is>
          <t>D</t>
        </is>
      </c>
      <c r="F20" s="2" t="inlineStr"/>
      <c r="G20" s="2" t="inlineStr">
        <is>
          <t>ВЕКТОР</t>
        </is>
      </c>
      <c r="H20" s="2" t="inlineStr">
        <is>
          <t>ВЕС</t>
        </is>
      </c>
    </row>
    <row r="21">
      <c r="A21" s="12" t="inlineStr">
        <is>
          <t>A</t>
        </is>
      </c>
      <c r="B21" s="3" t="n">
        <v>1</v>
      </c>
      <c r="C21" s="3" t="n">
        <v>3</v>
      </c>
      <c r="D21" s="3" t="n">
        <v>0.1429</v>
      </c>
      <c r="E21" s="3" t="n">
        <v>5</v>
      </c>
      <c r="G21" s="15">
        <f>POWER(PRODUCT(B21:E21),0.25)</f>
        <v/>
      </c>
      <c r="H21" s="3">
        <f>G21/G$25</f>
        <v/>
      </c>
    </row>
    <row r="22">
      <c r="A22" s="12" t="inlineStr">
        <is>
          <t>B</t>
        </is>
      </c>
      <c r="B22" s="3" t="n">
        <v>0.3333</v>
      </c>
      <c r="C22" s="3" t="n">
        <v>1</v>
      </c>
      <c r="D22" s="3" t="n">
        <v>6</v>
      </c>
      <c r="E22" s="3" t="n">
        <v>3</v>
      </c>
      <c r="G22" s="15">
        <f>POWER(PRODUCT(B22:E22),0.25)</f>
        <v/>
      </c>
      <c r="H22" s="3">
        <f>G22/G$25</f>
        <v/>
      </c>
    </row>
    <row r="23">
      <c r="A23" s="12" t="inlineStr">
        <is>
          <t>C</t>
        </is>
      </c>
      <c r="B23" s="3" t="n">
        <v>7</v>
      </c>
      <c r="C23" s="3" t="n">
        <v>0.1667</v>
      </c>
      <c r="D23" s="3" t="n">
        <v>1</v>
      </c>
      <c r="E23" s="3" t="n">
        <v>0.2</v>
      </c>
      <c r="G23" s="15">
        <f>POWER(PRODUCT(B23:E23),0.25)</f>
        <v/>
      </c>
      <c r="H23" s="3">
        <f>G23/G$25</f>
        <v/>
      </c>
    </row>
    <row r="24">
      <c r="A24" s="12" t="inlineStr">
        <is>
          <t>D</t>
        </is>
      </c>
      <c r="B24" s="3" t="n">
        <v>0.2</v>
      </c>
      <c r="C24" s="3" t="n">
        <v>0.3333</v>
      </c>
      <c r="D24" s="3" t="n">
        <v>5</v>
      </c>
      <c r="E24" s="3" t="n">
        <v>1</v>
      </c>
      <c r="G24" s="15">
        <f>POWER(PRODUCT(B24:E24),0.25)</f>
        <v/>
      </c>
      <c r="H24" s="3">
        <f>G24/G$25</f>
        <v/>
      </c>
    </row>
    <row r="25">
      <c r="G25" s="12">
        <f>SUM(G21:G24)</f>
        <v/>
      </c>
    </row>
    <row r="27">
      <c r="A27" s="9" t="inlineStr">
        <is>
          <t>Критерии</t>
        </is>
      </c>
    </row>
    <row r="28">
      <c r="A28" s="2" t="inlineStr"/>
      <c r="B28" s="2" t="inlineStr">
        <is>
          <t>К1</t>
        </is>
      </c>
      <c r="C28" s="2" t="inlineStr">
        <is>
          <t>К2</t>
        </is>
      </c>
      <c r="D28" s="2" t="inlineStr">
        <is>
          <t>К3</t>
        </is>
      </c>
      <c r="E28" s="2" t="inlineStr"/>
      <c r="F28" s="2" t="inlineStr">
        <is>
          <t>ВЕКТОР</t>
        </is>
      </c>
      <c r="G28" s="2" t="inlineStr">
        <is>
          <t>ВЕС</t>
        </is>
      </c>
    </row>
    <row r="29">
      <c r="A29" s="12" t="inlineStr">
        <is>
          <t>К1</t>
        </is>
      </c>
      <c r="B29" s="3" t="n">
        <v>1</v>
      </c>
      <c r="C29" s="3" t="n">
        <v>3</v>
      </c>
      <c r="D29" s="3" t="n">
        <v>0.5</v>
      </c>
      <c r="F29" s="15">
        <f>POWER(PRODUCT(B29:D29),1/3)</f>
        <v/>
      </c>
      <c r="G29" s="3">
        <f>F29/F$32</f>
        <v/>
      </c>
    </row>
    <row r="30">
      <c r="A30" s="12" t="inlineStr">
        <is>
          <t>К2</t>
        </is>
      </c>
      <c r="B30" s="3" t="n">
        <v>0.3333</v>
      </c>
      <c r="C30" s="3" t="n">
        <v>1</v>
      </c>
      <c r="D30" s="3" t="n">
        <v>5</v>
      </c>
      <c r="F30" s="15">
        <f>POWER(PRODUCT(B30:D30),1/3)</f>
        <v/>
      </c>
      <c r="G30" s="3">
        <f>F30/F$32</f>
        <v/>
      </c>
    </row>
    <row r="31">
      <c r="A31" s="12" t="inlineStr">
        <is>
          <t>К3</t>
        </is>
      </c>
      <c r="B31" s="3" t="n">
        <v>2</v>
      </c>
      <c r="C31" s="3" t="n">
        <v>0.2</v>
      </c>
      <c r="D31" s="3" t="n">
        <v>1</v>
      </c>
      <c r="F31" s="15">
        <f>POWER(PRODUCT(B31:D31),1/3)</f>
        <v/>
      </c>
      <c r="G31" s="3">
        <f>F31/F$32</f>
        <v/>
      </c>
    </row>
    <row r="32">
      <c r="F32" s="12">
        <f>SUM(F29:F31)</f>
        <v/>
      </c>
    </row>
    <row r="34">
      <c r="A34" s="9" t="inlineStr">
        <is>
          <t>Функции полезности альтернатив</t>
        </is>
      </c>
    </row>
    <row r="35">
      <c r="A35" s="2" t="inlineStr">
        <is>
          <t>Альтернатива</t>
        </is>
      </c>
      <c r="B35" s="2" t="inlineStr">
        <is>
          <t>F(Ai)</t>
        </is>
      </c>
    </row>
    <row r="36">
      <c r="A36" s="12" t="inlineStr">
        <is>
          <t>A</t>
        </is>
      </c>
      <c r="B36" s="4">
        <f>H5*G$29+H13*G$30+H21*G$31</f>
        <v/>
      </c>
    </row>
    <row r="37">
      <c r="A37" s="12" t="inlineStr">
        <is>
          <t>B</t>
        </is>
      </c>
      <c r="B37" s="4">
        <f>H6*G$29+H14*G$30+H22*G$31</f>
        <v/>
      </c>
    </row>
    <row r="38">
      <c r="A38" s="12" t="inlineStr">
        <is>
          <t>C</t>
        </is>
      </c>
      <c r="B38" s="4">
        <f>H7*G$29+H15*G$30+H23*G$31</f>
        <v/>
      </c>
    </row>
    <row r="39">
      <c r="A39" s="12" t="inlineStr">
        <is>
          <t>D</t>
        </is>
      </c>
      <c r="B39" s="4">
        <f>H8*G$29+H16*G$30+H24*G$31</f>
        <v/>
      </c>
    </row>
    <row r="41">
      <c r="A41" s="5" t="inlineStr">
        <is>
          <t>ОТВЕТ:</t>
        </is>
      </c>
      <c r="B41" s="16">
        <f>INDEX(A36:A39,MATCH(MAX(B36:B39),B36:B39,0))</f>
        <v/>
      </c>
      <c r="C41" t="inlineStr">
        <is>
          <t>F =</t>
        </is>
      </c>
      <c r="D41" s="7">
        <f>MAX(B36:B39)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2026-06-16T07:17:04Z</dcterms:created>
  <dcterms:modified xmlns:dcterms="http://purl.org/dc/terms/" xmlns:xsi="http://www.w3.org/2001/XMLSchema-instance" xsi:type="dcterms:W3CDTF">2026-06-16T07:17:04Z</dcterms:modified>
</cp:coreProperties>
</file>